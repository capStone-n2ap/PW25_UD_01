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ta_maml_run4_predictions" sheetId="1" r:id="rId5"/>
    <sheet name="bayesian_maml_best" sheetId="2" r:id="rId6"/>
    <sheet name="Testing Result Summary" sheetId="3" r:id="rId7"/>
    <sheet name="Range Reduction Summary" sheetId="4" r:id="rId8"/>
    <sheet name="Embedding Results" sheetId="5" r:id="rId9"/>
    <sheet name="Final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<sst xmlns="http://schemas.openxmlformats.org/spreadsheetml/2006/main" uniqueCount="239">
  <si>
    <t>task_name</t>
  </si>
  <si>
    <t>ltm_id</t>
  </si>
  <si>
    <t>actual_learning_rate</t>
  </si>
  <si>
    <t>pred_learning_rate</t>
  </si>
  <si>
    <t>unc_learning_rate</t>
  </si>
  <si>
    <t>lower_learning_rate</t>
  </si>
  <si>
    <t>upper_learning_rate</t>
  </si>
  <si>
    <t>upper_learning_rate (Scaling 0.0287)</t>
  </si>
  <si>
    <t>actual_epochs</t>
  </si>
  <si>
    <t>pred_epochs</t>
  </si>
  <si>
    <t>unc_epochs</t>
  </si>
  <si>
    <t>lower_epochs</t>
  </si>
  <si>
    <t>upper_epochs</t>
  </si>
  <si>
    <t>actual_weight_decay</t>
  </si>
  <si>
    <t>pred_weight_decay</t>
  </si>
  <si>
    <t>unc_weight_decay</t>
  </si>
  <si>
    <t>lower_weight_decay</t>
  </si>
  <si>
    <t>upper_weight_decay</t>
  </si>
  <si>
    <t>upper_weight_decay (scaling 0.169)</t>
  </si>
  <si>
    <t>actual_warmup_ratio</t>
  </si>
  <si>
    <t>pred_warmup_ratio</t>
  </si>
  <si>
    <t>unc_warmup_ratio</t>
  </si>
  <si>
    <t>lower_warmup_ratio</t>
  </si>
  <si>
    <t>upper_warmup_ratio</t>
  </si>
  <si>
    <t>lower_warmup_ratio(scaling 3)</t>
  </si>
  <si>
    <t>upper_warmup_ratio(scaling 5.5)</t>
  </si>
  <si>
    <t>actual_dropout_rate</t>
  </si>
  <si>
    <t>pred_dropout_rate</t>
  </si>
  <si>
    <t>unc_dropout_rate</t>
  </si>
  <si>
    <t>lower_dropout_rate</t>
  </si>
  <si>
    <t>upper_dropout_rate</t>
  </si>
  <si>
    <t>lower_dropout_rate (scaling 3)</t>
  </si>
  <si>
    <t>upper_dropout_rate (scaling 1)</t>
  </si>
  <si>
    <t>lower_dropout_rate (scaling 2.15)</t>
  </si>
  <si>
    <t>upper_dropout_rate (scaling 1.75)</t>
  </si>
  <si>
    <t>Dance Classification: Categorize different dance styles from video clips.</t>
  </si>
  <si>
    <t>Emotion Classification: Categorize human emotions from movie or series clips.</t>
  </si>
  <si>
    <t>Sports Classification: Categorize different sports activities from video clips.</t>
  </si>
  <si>
    <t>Gesture Recognition: Recognize and classify human gestures from video clips.</t>
  </si>
  <si>
    <t>Sport Recognition: Identify and categorize different sports or athletic activities present within video content.</t>
  </si>
  <si>
    <t>Emotion Classification: Identify and categorize human emotions from clips extracted from movies or TV series.</t>
  </si>
  <si>
    <t>Testing1 MAML</t>
  </si>
  <si>
    <t>Testing2 MAML</t>
  </si>
  <si>
    <t>Testing3 MAML</t>
  </si>
  <si>
    <t>Testing4 MAML</t>
  </si>
  <si>
    <t>Testing5 MAML</t>
  </si>
  <si>
    <t>Testing6 MAML</t>
  </si>
  <si>
    <t>pred-su*unc*sc = what i want</t>
  </si>
  <si>
    <t>Cap to og lower</t>
  </si>
  <si>
    <t>CAER</t>
  </si>
  <si>
    <t>LR</t>
  </si>
  <si>
    <t>WD</t>
  </si>
  <si>
    <t>WR</t>
  </si>
  <si>
    <t>DR</t>
  </si>
  <si>
    <t>OG - 2E-4</t>
  </si>
  <si>
    <t>0-0.002</t>
  </si>
  <si>
    <t>0.1-0.14</t>
  </si>
  <si>
    <t>0.1-0.3</t>
  </si>
  <si>
    <t>learning_rate</t>
  </si>
  <si>
    <t>lower (3.85E-2)</t>
  </si>
  <si>
    <t>upper (7E-2)</t>
  </si>
  <si>
    <t>upper (1E-3)</t>
  </si>
  <si>
    <t>weight_decay</t>
  </si>
  <si>
    <t>lower (4.5E-2)</t>
  </si>
  <si>
    <t>lower (4.75E-2)</t>
  </si>
  <si>
    <t>lower (5.75E-2)</t>
  </si>
  <si>
    <t>upper (6.5E-1)</t>
  </si>
  <si>
    <t>warmup_ratio</t>
  </si>
  <si>
    <t>lower (10)</t>
  </si>
  <si>
    <t>upper (20)</t>
  </si>
  <si>
    <t>dropout_rate</t>
  </si>
  <si>
    <t>lower (100)</t>
  </si>
  <si>
    <t>upper (10)</t>
  </si>
  <si>
    <t>Testing 1</t>
  </si>
  <si>
    <t>Testing 2</t>
  </si>
  <si>
    <t>Testing 3</t>
  </si>
  <si>
    <t>Dataset</t>
  </si>
  <si>
    <t>Base F1</t>
  </si>
  <si>
    <t>Base Accuracy</t>
  </si>
  <si>
    <t>Test</t>
  </si>
  <si>
    <t>Achieved F1</t>
  </si>
  <si>
    <t>% F1</t>
  </si>
  <si>
    <t>Achieved Accuracy</t>
  </si>
  <si>
    <t>% Accuracy</t>
  </si>
  <si>
    <t>IPN</t>
  </si>
  <si>
    <t>1_Bayesian</t>
  </si>
  <si>
    <t>3_Bayesian</t>
  </si>
  <si>
    <t>5_Bayesian</t>
  </si>
  <si>
    <t>6_Bayesian</t>
  </si>
  <si>
    <t>1_BayesianMAML</t>
  </si>
  <si>
    <t>2_BayesianMAML CLG</t>
  </si>
  <si>
    <t>2_BayesianMAML PRK</t>
  </si>
  <si>
    <t>3_BayesianMAML PRK</t>
  </si>
  <si>
    <t>3_BayesianMAML CLG</t>
  </si>
  <si>
    <t>UCF</t>
  </si>
  <si>
    <t>2_BayesianMAML</t>
  </si>
  <si>
    <t>3_BayesianMAML</t>
  </si>
  <si>
    <t>Kinetics Sports</t>
  </si>
  <si>
    <t>-</t>
  </si>
  <si>
    <t>1_BayesianMAML CLG</t>
  </si>
  <si>
    <t>1_BayesianMAML PRK</t>
  </si>
  <si>
    <t>DFEW</t>
  </si>
  <si>
    <t>lr_low</t>
  </si>
  <si>
    <t>lr_upper</t>
  </si>
  <si>
    <t>lr_width</t>
  </si>
  <si>
    <t>lr_reduc%</t>
  </si>
  <si>
    <t>og_wd_low</t>
  </si>
  <si>
    <t>og_wd_upper</t>
  </si>
  <si>
    <t>og_wd_width</t>
  </si>
  <si>
    <t>wd_reduc%</t>
  </si>
  <si>
    <t>og_do_low</t>
  </si>
  <si>
    <t>og_do_upper</t>
  </si>
  <si>
    <t>og_do_width</t>
  </si>
  <si>
    <t>do_reduc%</t>
  </si>
  <si>
    <t>og_wr_low</t>
  </si>
  <si>
    <t>og_wr_upper</t>
  </si>
  <si>
    <t>og_wr_width</t>
  </si>
  <si>
    <t>wr_reduc%</t>
  </si>
  <si>
    <t>Avg redc%</t>
  </si>
  <si>
    <t>og</t>
  </si>
  <si>
    <t>test3_ucf</t>
  </si>
  <si>
    <t>test6_ucf</t>
  </si>
  <si>
    <t>test2_maml_ucf</t>
  </si>
  <si>
    <t>test3_maml_ucf</t>
  </si>
  <si>
    <t>test3_ipn</t>
  </si>
  <si>
    <t>test6_ipn</t>
  </si>
  <si>
    <t>test2_maml_ipn</t>
  </si>
  <si>
    <t>test3_maml_ipn</t>
  </si>
  <si>
    <t>test3_k700</t>
  </si>
  <si>
    <t>test6_k700</t>
  </si>
  <si>
    <t>test2_maml_k700</t>
  </si>
  <si>
    <t>test3_maml_k700</t>
  </si>
  <si>
    <t>test5_ucf</t>
  </si>
  <si>
    <t>test5_ipn</t>
  </si>
  <si>
    <t>test5_k700</t>
  </si>
  <si>
    <t>test1_ucf</t>
  </si>
  <si>
    <t>test1_ipn</t>
  </si>
  <si>
    <t>test1_bayesian_ucf</t>
  </si>
  <si>
    <t>test1_bayesian_ipn</t>
  </si>
  <si>
    <t>test1_bayesian_k700</t>
  </si>
  <si>
    <t>test1_bayesian_dfew</t>
  </si>
  <si>
    <t>test4_k700</t>
  </si>
  <si>
    <t>test4_ucf</t>
  </si>
  <si>
    <t>test4_ipn</t>
  </si>
  <si>
    <t xml:space="preserve"> </t>
  </si>
  <si>
    <t>pred_range_learning_rate</t>
  </si>
  <si>
    <t>og_range_learning_rate</t>
  </si>
  <si>
    <t>reduction%_learning_range</t>
  </si>
  <si>
    <t>og_epochs_range</t>
  </si>
  <si>
    <t>reduction%_epochs</t>
  </si>
  <si>
    <t>pred_weight_decay_range</t>
  </si>
  <si>
    <t>og_weight_decay_range</t>
  </si>
  <si>
    <t>reduction%_weight_decay</t>
  </si>
  <si>
    <t>pred_range_warmup</t>
  </si>
  <si>
    <t>og_warmup_range</t>
  </si>
  <si>
    <t>reduction%_warmup</t>
  </si>
  <si>
    <t>pred_range_dropout_rate</t>
  </si>
  <si>
    <t>og_dropout_rate_range</t>
  </si>
  <si>
    <t>reduction%_dropout</t>
  </si>
  <si>
    <t>[2.88E-05, 6.58E-04]</t>
  </si>
  <si>
    <t>[5E-5, 8E-4]</t>
  </si>
  <si>
    <t>[5, 15]</t>
  </si>
  <si>
    <t>[1.10E-04, 1.29E-03]</t>
  </si>
  <si>
    <t>[1E-6, 1E-2]</t>
  </si>
  <si>
    <t>[9.99E-02, 1.41E-01]</t>
  </si>
  <si>
    <t>[0.05, 0.15]</t>
  </si>
  <si>
    <t>[9.93E-02, 3.42E-01]</t>
  </si>
  <si>
    <t>[0.0, 0.3]</t>
  </si>
  <si>
    <t>[2.66E-05, 7.43E-04]</t>
  </si>
  <si>
    <t>[1.53E-05, 1.36E-03]</t>
  </si>
  <si>
    <t>[9.53E-02, 1.49E-01]</t>
  </si>
  <si>
    <t>[8.27E-02, 3.14E-01]</t>
  </si>
  <si>
    <t>[1E-5, 1E-3]</t>
  </si>
  <si>
    <t>[0.01,0.2]</t>
  </si>
  <si>
    <t>[0.0,0.5]</t>
  </si>
  <si>
    <t>id</t>
  </si>
  <si>
    <t>created_at</t>
  </si>
  <si>
    <t>type</t>
  </si>
  <si>
    <t>metadata</t>
  </si>
  <si>
    <t>Reduction</t>
  </si>
  <si>
    <t>model_details</t>
  </si>
  <si>
    <t>dataset_name</t>
  </si>
  <si>
    <t>dataset_embedding</t>
  </si>
  <si>
    <t>compute_duration</t>
  </si>
  <si>
    <t>samples_per_class</t>
  </si>
  <si>
    <t>2025-10-28 13:28:43.508816+00</t>
  </si>
  <si>
    <t>PROGRESSIVE</t>
  </si>
  <si>
    <t>{"num_classes": 7, "used_samples": 765, "embedding_dim": 512, "total_time_min": 3.4833765427271524, "output_dir": "/content/Kinetics700_Sport_Finetuned_combo_001_Progressive"}</t>
  </si>
  <si>
    <t>FINETUNED</t>
  </si>
  <si>
    <t>Kinetics700 SPORTS</t>
  </si>
  <si>
    <t>[-0.0015397996,-0.01460498,0.010226599,-0.012000099,0.03087403,-0.0077809445,0.0013147497,-0.015305107,-0.0208146,-0.0044361614,0.003044905,-0.027190931,0.038081013,0.0040733903,0.00074101216,0.023215467,-0.08596586,0.018406661,0.010525238,-0.02294495,-0.0412377,-8.275382e-05,-0.023998445,0.0010137854,-0.018953621,0.0062999288,-0.010241243,0.0010142867,-0.004884148,-0.019291952,-0.0067741307,-0.009831656,-0.017214451,-0.014034181,0.027403492,0.03230666,-0.021192212,0.022782099,-0.001376951,0.015006093,-0.040456634,0.014962469,-0.018396083,-0.001441814,0.023195375,0.08923421,0.061468866,-0.019534905,0.001378807,0.029991638,0.010231724,0.022592826,0.005179444,-0.0030281323,-0.017248007,0.005858898,0.010028465,0.0046118167,-0.03774567,-0.01761799,0.031244664,-0.017130766,0.008066478,0.008107054,-0.008752624,0.00592625,-0.021498261,0.12891473,-0.0072786636,-0.032900106,-0.0142402705,0.0035634986,0.00015678113,-0.00673649,-0.010002332,0.010250187,-0.01125084,-0.035520982,0.0002010664,-0.037092324,0.012987976,-0.0032398105,-0.05069062,0.008143842,0.00909757,-0.005385233,0.02709442,0.00091431465,0.033967588,-0.028791193,0.005068178,0.022583121,-0.7647497,0.032134555,-0.022981314,-0.0031344667,0.0057782265,-0.030077485,-0.018009603,-0.037706308,0.041111942,-0.021379096,0.03925421,0.027496224,-0.024563732,-0.001732407,-0.11470432,0.011379001,-0.013771788,0.02681648,0.014013054,0.025931701,0.027178792,-0.0112653,0.025754752,-0.011411282,-0.030387547,0.011552378,0.03899545,-0.059771203,0.0012499904,-0.022939002,-0.0066777035,-0.020011036,0.029732399,-0.010246768,-0.008067115,-0.004085782,0.028078487,-0.0038354932,0.007440462,-0.008574267,0.0032444147,0.1052549,0.0016021368,-0.020355087,-0.01000863,-0.02788267,-0.035500057,-0.017243337,-0.020704465,-0.0034140423,0.028091626,-0.0035505637,0.0011888766,-0.03303968,-0.058859356,0.036691766,-0.018847743,0.0077265077,-0.02015568,-0.028656872,0.022159925,0.00362038,-0.0007361808,-0.050579794,-0.022739768,-0.006521847,0.0021428152,-0.012101186,-0.024814572,0.031344675,0.011754771,0.016854733,0.0124911815,-0.01689071,0.03758142,0.009187558,0.0010670992,-0.017098352,-0.0090874145,0.02535442,0.03199735,0.022260502,-0.03337989,-0.01533668,-0.03213756,0.000818476,-0.022686845,0.038504332,0.008776174,-0.022567863,0.00940941,0.023274004,-0.0027413466,0.0037470253,-0.008260096,-0.0063039777,0.039106876,0.0057824957,-0.008701703,0.012023419,0.027869478,0.010807606,-0.040728673,-0.00069390715,-0.009291642,0.001229078,0.024856692,0.0069382982,-0.010184157,-0.011993439,-0.034496773,0.024135802,-0.011541082,-0.00022389488,-0.04843029,-0.0058700545,-0.020322595,0.0052572032,-0.0029239738,0.009304528,0.016109362,-0.015087104,0.03815954,-0.011693326,0.0068317777,0.0424969,0.0004683231,-0.0037376727,0.027719647,-0.0012483299,-0.016431998,0.0004816731,0.011573891,0.017174093,0.013538374,-0.005631165,0.007464048,-0.02055917,-0.003546601,-0.0067238617,0.012039176,-0.03719167,0.002686419,-0.0073732412,0.0011453826,-0.010424515,0.019738127,-0.017318599,0.00047232778,0.01895007,0.0037937306,0.01595054,-0.022052899,0.0475059,0.014381575,0.051431462,-0.0018194441,0.029813599,-0.005049709,-0.0035395853,0.0005255125,0.015500414,-0.037166882,-0.0048012096,0.016156673,0.012057203,-0.011395752,0.017040752,-0.03886992,0.03133635,-0.0012504461,0.00037885807,0.006888181,-0.032262485,-0.007248787,-0.011094229,-0.014717665,-0.0010302477,-0.04163021,0.006439793,0.031112066,-0.0101803895,0.02438849,-0.03173693,-0.020919029,0.0032776883,-0.0060032923,-0.010230036,-0.00065183226,0.047748417,0.0105473,0.005517757,-0.0071170614,0.014451458,0.17604482,-0.0073856935,-0.006291277,-0.02837355,0.025307719,0.0027655324,0.009744398,-0.007763009,0.0017746714,0.02136154,-0.086462334,0.020790406,0.014808152,-0.0144476015,0.017758863,-0.0033937395,0.0026619886,-0.00019461567,-0.014344097,-0.09278036,0.029128853,0.000654637,0.023655208,0.008583388,-0.042045265,0.001420761,0.10512051,-0.03830162,0.04431162,0.0107078515,0.0039516357,0.0380661,-0.0075892014,0.027794138,0.04439114,-0.0670453,-0.019847637,-0.007949615,-0.042744927,-0.007808562,-0.0077417837,-0.03473731,0.018158982,-0.028870944,-0.0114926305,0.003204517,0.029725073,-0.023854133,-0.021353137,-0.0047072894,0.0053379047,0.03632267,-0.021195628,-0.004041172,-0.004303313,-0.017613588,0.019148368,0.020185342,-0.024921177,0.04516358,-0.0006035995,-0.033188317,0.009478063,0.019377226,0.0619711,0.025142238,0.011860976,0.026856055,0.0014138767,0.007277479,0.04167769,0.014302986,0.011362734,-0.009072935,-0.008565618,0.014777789,0.014813409,0.022470325,0.0073934933,-0.011566453,0.0054842546,-0.12218489,-0.0024757693,0.03263114,-0.01644447,0.0064135916,0.028966982,-0.009113526,0.019667143,-0.013065074,0.12669313,0.0061915093,-0.011343762,0.019153718,0.0015096677,0.068101026,-0.03355458,-0.05738999,-0.020167055,-0.016297719,0.018353887,0.030151801,-0.015076122,-0.1452185,-0.0687903,0.018594516,-0.009318691,-0.009722105,-0.0068890867,-0.004011538,0.016027557,0.011122061,-0.0091711255,0.011802794,0.046806697,0.009998317,0.08213403,0.017655533,0.028085379,0.00837846,-0.015473481,-0.030190308,0.0092547005,0.002048953,0.038873684,0.014713995,-0.014668932,-0.005853034,-0.021140045,-0.0075449175,-0.014868146,-0.012078135,-0.011997435,-0.004738156,0.0037057006,-0.020848855,-0.0070920493,0.030149095,-0.05483334,-0.0071019735,-0.03069271,-0.012956422,0.007987216,-0.0010055152,-0.035886563,0.034019686,-0.030754318,0.016781347,-0.020889714,-0.020874498,-0.03806076,0.0059459507,-0.031745013,0.025876543,0.0026695472,0.03032935,-0.024359558,0.032100253,0.05113202,0.010032404,-0.018467303,0.0039805584,-0.018081484,0.020294761,0.035484802,-0.020179069,-0.05503587,0.027544681,0.034738977,-0.01156258,0.0278357,-0.017239802,-7.231803e-05,0.0019188569,0.0039536636,0.0027678977,-0.012629562,-0.02299157,0.018342385,0.000968899,0.03326252,0.0153684355,-0.013931694,-0.0034128323,-0.028144399,-0.019757876,0.017630853,-0.029210765,-0.010608661,-0.029126713,-0.034675356,-0.010383895,-0.008862034,-0.018436337,-0.016146008,-0.038436394,0.0024387885,-0.011306536,-0.010474914,0.009217279,-0.016419236,-0.004845186,-0.01548819,-0.024878742,0.01002431,-0.028404772,0.021781912,-0.023609178,-0.010308551,0.010668579,7.067285e-05,0.002985813,-0.018912321,0.03332438,-0.020507729,0.01196487,0.009139339,-0.009797177,0.0064506605,-0.0069116564,0.01112715,0.01868544,-0.010028107,0.05218388,0.0024861002,0.011503175]</t>
  </si>
  <si>
    <t>{"bowling": {"num_samples": 150}, "canoeing or kayaking": {"num_samples": 70}, "curling (sport)": {"num_samples": 105}, "fencing (sport)": {"num_samples": 40}, "golf driving": {"num_samples": 140}, "ice skating": {"num_samples": 105}, "shooting basketball": {"num_samples": 155}}</t>
  </si>
  <si>
    <t>2025-10-28 13:47:07.741564+00</t>
  </si>
  <si>
    <t>FULL</t>
  </si>
  <si>
    <t>{"num_classes": 7, "used_samples": 3577, "embedding_dim": 512, "total_time_min": 16.19000262816747, "output_dir": "/content/Kinetics700_Sport_Finetuned_combo_001_full"}</t>
  </si>
  <si>
    <t>[-0.0021294872,-0.01397759,0.010946601,-0.011790766,0.03195594,-0.0091336295,0.0025435642,-0.014796371,-0.020125667,-0.005439021,0.004922551,-0.025760772,0.03645185,0.0059123794,0.0018271826,0.02386312,-0.088749655,0.01862296,0.010515822,-0.024120554,-0.04228852,4.4642307e-05,-0.02338958,0.0033089016,-0.018992752,0.007033262,-0.011059152,0.0010065722,-0.0058300085,-0.018005041,-0.0075252885,-0.009951174,-0.017183242,-0.014777017,0.027817681,0.03135541,-0.022057027,0.022526616,-0.0009665105,0.014402279,-0.042234268,0.014249955,-0.01844612,-0.0020197267,0.023227561,0.09288399,0.06355912,-0.020572461,0.0010756784,0.031052185,0.009339396,0.022941813,0.006361044,-0.0010150558,-0.016144343,0.00630151,0.009509014,0.005211563,-0.036678802,-0.01736826,0.02931677,-0.017781686,0.0075520473,0.0075179995,-0.009099277,0.005876896,-0.023055313,0.12883313,-0.0069038775,-0.033383816,-0.014396167,0.0026702546,0.00083856314,-0.006965401,-0.01038076,0.01150458,-0.012126867,-0.035659574,0.00020055163,-0.03724231,0.013863464,-0.0030412434,-0.050164837,0.007779506,0.00914084,-0.0046344576,0.028282896,0.0005074724,0.034384422,-0.029617498,0.0057412907,0.023103856,-0.7615874,0.03201518,-0.023091244,-0.003125212,0.0040951776,-0.029374983,-0.019792184,-0.03650212,0.041936558,-0.020645797,0.04012556,0.028221767,-0.025393771,-0.00046605052,-0.11077041,0.0112193655,-0.014394369,0.027051521,0.014544999,0.027170612,0.027707495,-0.011898632,0.02715858,-0.012813383,-0.031028198,0.010217306,0.03808049,-0.05993185,0.0009912188,-0.02398689,-0.005191783,-0.020027928,0.02935408,-0.010704423,-0.007541515,-0.004258809,0.02798704,-0.004195699,0.007777856,-0.008231016,0.0038106577,0.10497223,0.0016220362,-0.020623188,-0.009194821,-0.027605155,-0.03626597,-0.017140808,-0.020671425,-0.0037435414,0.029661873,-0.003595622,0.00035641738,-0.033984944,-0.058501054,0.037317954,-0.018899366,0.007565858,-0.019380448,-0.02755742,0.025425898,0.004283375,0.0004170611,-0.051335294,-0.023167953,-0.0066784425,-0.00026603564,-0.013010723,-0.025370443,0.03271923,0.010791573,0.017252736,0.012746087,-0.01650884,0.038437933,0.008216684,0.00075101934,-0.016735747,-0.008592817,0.025940776,0.032646738,0.02102684,-0.03320637,-0.01608805,-0.031319186,0.0024428808,-0.023257991,0.038563088,0.0075505893,-0.02277509,0.010646052,0.022146305,-0.0029219957,0.003639445,-0.008111913,-0.007341808,0.03973245,0.005251157,-0.009148781,0.012705115,0.028319594,0.013127831,-0.04265186,-0.001246695,-0.010596285,0.00084032107,0.024719093,0.006459821,-0.0103157,-0.010778767,-0.034348223,0.023116753,-0.011978534,0.00019911304,-0.048851456,-0.004868161,-0.02101824,0.0047661397,-0.0017611721,0.009463308,0.016282354,-0.016149169,0.03871533,-0.011487843,0.006849837,0.042398065,0.0015882036,-0.004748991,0.028323272,-0.0010641039,-0.016330995,-0.0009260067,0.012212666,0.017473146,0.01377288,-0.0058001284,0.007840292,-0.020824,-0.003698228,-0.0069885426,0.012331949,-0.03753009,0.0027012317,-0.0069374745,0.0017006742,-0.010546229,0.021776002,-0.016137224,-0.00026826636,0.019674454,0.0033040931,0.016292637,-0.02207142,0.047757328,0.014372252,0.052004796,-0.002033201,0.029700309,-0.0050967997,-0.0035214417,0.00045626867,0.01577042,-0.038039163,-0.0057493867,0.016592905,0.012528035,-0.01473935,0.01680454,-0.03914861,0.03238909,-0.0014162316,-0.0021136338,0.0073780753,-0.03197555,-0.0071711866,-0.011157419,-0.015230068,-0.0010848606,-0.041690093,0.007888475,0.030791162,-0.010997978,0.024504393,-0.032472007,-0.020758377,0.0037420949,-0.0057364833,-0.009924047,-0.0021461598,0.048810806,0.010965662,0.0057035536,-0.0077179386,0.015326191,0.17278346,-0.0072030164,-0.006482937,-0.028703274,0.025684446,0.0013109867,0.009702971,-0.008561825,0.0006325476,0.021591758,-0.086422056,0.020684434,0.014200108,-0.015151788,0.017702796,-0.002923389,0.0026861716,-0.0012432389,-0.013195157,-0.09503635,0.03015913,-0.0002617841,0.02384968,0.008046486,-0.04042582,0.0010135975,0.104837775,-0.039122537,0.04444576,0.011043254,0.0035609526,0.037551895,-0.0069109974,0.02879242,0.045371804,-0.065024845,-0.019810172,-0.007031663,-0.0434958,-0.007291089,-0.0076997457,-0.034145925,0.019376393,-0.029511275,-0.011113476,0.0030655619,0.028267434,-0.024788912,-0.020732498,-0.0048678964,0.0056646354,0.037953213,-0.022197014,-0.0036321927,-0.004737701,-0.018256398,0.019813567,0.019834202,-0.024711642,0.046563257,-0.0004945641,-0.033847213,0.009064313,0.019768685,0.0624578,0.02486403,0.011134383,0.026016342,0.0024218133,0.009473174,0.042558596,0.012347232,0.011168763,-0.009401051,-0.0054604406,0.013708147,0.015650686,0.021935815,0.008757202,-0.012708343,0.006087276,-0.1216689,-0.0021628053,0.03202588,-0.016367739,0.005561722,0.029423859,-0.009493715,0.01882627,-0.012110734,0.12950476,0.006341838,-0.009874673,0.019306805,0.0015595166,0.06755375,-0.034090184,-0.056917056,-0.019590383,-0.017000224,0.01859422,0.028119072,-0.01535593,-0.15213415,-0.07032313,0.01873466,-0.009003863,-0.009416464,-0.005316385,-0.0032978796,0.01430142,0.011430423,-0.0080813095,0.011921332,0.046863656,0.010463449,0.08179342,0.018382568,0.02840747,0.007696224,-0.014516548,-0.031467225,0.0076577207,0.0030060401,0.04144482,0.014804668,-0.014869069,-0.0059412294,-0.021248234,-0.008912028,-0.01463895,-0.012628553,-0.012722225,-0.004209389,0.0038296373,-0.020450082,-0.00790536,0.0308916,-0.05495812,-0.0069849463,-0.031301565,-0.0133204,0.0096507175,-0.00011202403,-0.035725463,0.033248443,-0.02904095,0.017755402,-0.021747353,-0.021487333,-0.038877375,0.0054110205,-0.0320522,0.025572747,0.0027795022,0.03120491,-0.022572279,0.031232245,0.051598113,0.009021201,-0.018892245,0.00544983,-0.01855554,0.02214974,0.03413272,-0.019880768,-0.054073397,0.028417693,0.033731934,-0.01317801,0.027104106,-0.017519955,-0.0012514343,0.0021099625,0.003869383,0.0027503178,-0.011751196,-0.022572575,0.018817427,0.0012026904,0.032457933,0.013879221,-0.013468282,-0.0032677613,-0.027998934,-0.019783791,0.017300745,-0.029279036,-0.010956203,-0.027643079,-0.03519155,-0.0094100125,-0.009020511,-0.018876517,-0.01620048,-0.03775643,0.0013847575,-0.011527588,-0.01077352,0.008655456,-0.017050173,-0.0050945412,-0.016052673,-0.025002755,0.009128491,-0.027578974,0.021913325,-0.02368463,-0.010581599,0.01097391,0.0010210626,0.0029382256,-0.018378897,0.034611523,-0.020779524,0.0129756415,0.0090897055,-0.009857251,0.0069632833,-0.0074659553,0.011003739,0.0186509,-0.011232551,0.05144825,0.0023130784,0.010390256]</t>
  </si>
  <si>
    <t>{"bowling": {"num_samples": 515}, "canoeing or kayaking": {"num_samples": 510}, "curling (sport)": {"num_samples": 508}, "fencing (sport)": {"num_samples": 511}, "golf driving": {"num_samples": 509}, "ice skating": {"num_samples": 507}, "shooting basketball": {"num_samples": 517}}</t>
  </si>
  <si>
    <t>2025-10-28 13:53:54.169774+00</t>
  </si>
  <si>
    <t>{"num_classes": 5, "used_samples": 430, "embedding_dim": 512, "total_time_min": 1.8017924547195434, "output_dir": "/content/Kinetics700_Dance_Finetuned_combo_001_progressive"}</t>
  </si>
  <si>
    <t>Kinetics700 DANCE</t>
  </si>
  <si>
    <t>[0.015016103,-0.0028745488,0.005411988,-0.019619264,0.017148683,-0.018604128,0.0017289303,-0.016030688,-0.031978454,0.0034733773,0.01711482,0.005658909,0.037923925,0.003935572,0.015578881,0.021565339,-0.105535716,0.029182462,-0.0068205893,-0.030188048,-0.046412334,-0.0021583266,-0.002138832,0.007878182,-0.02863082,0.019906132,-0.00810312,-0.003321079,-0.0080448445,0.0036344538,-0.014522562,-0.005068525,-0.015587741,-0.021150459,0.027534869,0.0124745,-0.018098565,0.008644381,0.0037210775,-0.029648146,-0.040372323,-0.010073227,-0.0023888613,-0.015778977,0.010375994,0.1637166,0.0622589,-0.00621134,0.0086045405,0.021217274,0.025933478,0.019531105,0.01122005,0.0031116682,-0.00437702,0.012413532,0.0065640463,-0.004722785,-0.025162036,-0.022452772,0.037123542,-0.0010937917,-0.011361105,0.009331367,-0.0112342825,-0.00038265414,-0.047049165,0.093726106,0.009152753,-0.030788336,-0.004248682,0.035960063,-0.008825699,-0.00024224861,-0.0017682642,0.025224097,-0.0070026414,-0.04021267,-0.0068919077,-0.029702645,0.008075152,-0.016835999,-0.025399832,0.023503045,0.0065288385,0.020672493,0.043921188,0.002410601,0.04233575,-0.013627763,0.0063562584,0.003968449,-0.78886855,-0.0085826395,-0.02436744,0.017956927,-0.00018245516,-0.022083787,-0.024756564,0.00798117,0.025234796,0.0072244084,0.023574678,0.0028491619,0.0031796922,0.018485593,-0.014668732,0.02145077,-0.026887171,0.024921205,0.0041416157,0.014763227,0.027807893,-0.012144557,0.02949215,-0.010246873,-0.03665412,0.024930198,0.04123219,-0.045887165,0.021159992,-0.046790358,0.0026472332,-0.0070459517,0.024226118,-0.0329734,-0.02380552,-0.013235376,0.0023651654,-0.016795635,0.009508825,-0.03245316,-0.003971626,0.105293326,0.007967929,-0.012568675,0.015697801,-0.021217888,-0.037897196,-0.0046645813,-0.0086451415,-0.0171592,0.012104706,0.005790848,0.004581618,-0.02172402,-0.035265446,0.036929432,-0.013644433,-0.003994804,-0.013268657,-0.017667184,0.098250896,0.010669797,0.029732041,-0.06265493,-0.005625249,0.0055875466,-0.0005262661,-0.023864277,-0.041142523,0.01823772,0.014752268,0.009286192,0.006065961,-0.020376042,0.04670617,0.0044443174,-0.0017509994,-0.016162802,0.000382248,0.011213362,-0.0065676123,0.017712062,-0.01892879,-0.0105113685,0.0029416454,-0.0007400707,0.005843229,0.022866134,0.010346258,-0.03691223,0.0065160426,0.019971346,0.0021411595,0.008777095,-0.0008775617,0.009052222,0.023106012,0.005355281,-0.0019880047,0.004144188,0.020947337,0.018518938,-0.0153861055,0.015300034,-0.02099419,-0.027106717,-0.0023498423,0.0077511515,-0.026455477,-0.0037445533,-0.0213878,0.0029295112,-0.003238295,0.015953394,-0.04844393,2.6769827e-05,-0.01414781,0.008857196,-0.0067241136,0.048295703,0.02518389,0.003251598,0.032319825,-0.0095654065,0.013282634,0.042253967,0.0075935107,0.004862856,0.01613848,0.05085153,-0.013009281,-0.009396627,0.008757169,-0.002493555,0.011876311,-0.017533211,0.0070917653,-0.006605049,-0.01945947,-0.011624827,0.0072481344,-0.021506313,-0.004610374,0.04868788,0.00028551277,-0.009274212,0.0035624094,-0.017268807,-0.007882679,0.027855068,0.019392988,0.008342821,-0.010188288,0.06619109,0.010621937,0.03292229,0.0008031171,0.037266586,-0.023970462,-0.001876875,-0.012880451,0.01618539,-0.035435654,-0.015038736,-0.0026117533,0.028718695,-0.009215034,-0.007999393,-0.008471347,0.021681204,-0.019498946,-0.050762802,0.0027918576,-0.02218133,0.00037308573,-0.020838158,-0.012527762,0.018604025,-0.031488113,0.021688748,0.010186903,-0.01840281,0.027226195,-0.039903224,-0.03299094,0.011258006,0.0032581687,0.0016565173,0.0009550432,0.042893715,0.008889042,0.008620742,-0.0113724405,0.024118047,0.10737459,-0.011173385,-0.011556689,-0.0099471165,0.020448085,0.019193176,0.02001671,0.005753381,-0.021606453,0.027132533,-0.0883682,0.003501623,0.020784676,-0.012145684,0.01676628,0.025829645,-0.0019368851,-0.006587857,-0.0047165975,-0.079199195,0.025411753,-0.0028927568,0.022750743,0.015250899,-0.019323152,0.02402338,0.10508795,-0.021057867,0.024597496,0.011316957,0.024985133,0.030694563,0.0025818895,0.076531254,0.02958409,-0.010462968,-0.001853713,-0.02599192,-0.03740052,0.0062203393,-0.011893834,-0.009050079,0.02018521,-0.006201779,-0.029865794,0.014213809,0.0063623083,-0.026523631,-0.01410106,0.0009159618,3.2354714e-05,0.02625249,-0.015446878,0.00077474886,-0.00553353,-0.008493424,0.017109847,0.024727473,-0.0128495805,0.04381,0.013671973,-0.028224489,0.0068979864,0.019593779,0.093892306,0.0075159976,0.0006476952,0.025227938,-0.0052998806,-0.03404728,0.013337312,0.068620615,0.012428573,-0.0006272288,0.017936468,0.0084221335,0.014585116,-0.0011657662,-0.025472306,-0.0062480127,0.0016839745,-0.10192961,0.0071565243,0.03927008,-0.0027024862,0.0042033535,0.013817895,-0.004004604,-0.009735472,-0.00043388703,0.109065264,-0.0036983474,-0.017092476,0.001791326,0.0012544376,0.050265394,-0.027634498,-0.0602389,0.0014932391,-0.025136692,0.01628461,0.011723289,-0.011676428,-0.022309128,-0.0703733,0.018582864,0.000736067,-0.0024124326,0.011756535,-0.0152471615,0.012248484,0.012053756,-0.004147315,-0.002720288,0.042924527,0.030086793,0.05435501,0.0073303827,0.025985325,0.010043301,0.019866321,-0.059109725,-0.016434673,0.01321433,0.028902696,0.016360717,-0.0055990717,0.001340815,-0.02021096,-0.010399216,-0.01896483,-0.008389835,-0.0035605012,-0.015632419,0.00027470788,-0.024820074,0.0019682297,0.072689064,-0.049114767,0.0048127347,-0.019013505,-0.039333202,0.07641388,0.00997764,-0.041326508,0.00663989,0.02496554,0.014382063,-0.014591916,-0.01926282,-0.01009983,0.018042691,-0.018399894,0.0026782819,0.016164865,0.014527875,-0.0072143637,0.02288163,0.04116573,-0.009994171,-0.03369612,-0.00044424008,-0.020011166,0.0042271046,0.016585177,-0.02315588,-0.0233497,0.026872205,0.03626735,-0.011654128,0.024540044,-0.018046461,0.012503946,0.019893518,-0.0012245347,-0.0140894735,-0.025116686,-0.009391404,0.042732656,0.007538623,0.027758135,0.000496679,-0.015255025,0.0008436245,-0.024980355,0.0019110523,-0.002690587,-0.03108318,-0.020529792,-0.0071944376,-0.037619412,-0.010416374,-0.012507035,-0.017101355,-0.026900085,-0.04324051,-0.0056658513,-0.004616548,-0.017448029,0.033589676,-0.011539137,0.0062278467,-0.0062770005,-0.014697212,-0.0032835733,-0.019471275,0.028557708,-0.027484415,0.002123167,0.011610164,-0.016397182,-0.0033707744,-0.014805644,0.009267947,0.00079278625,0.0060524433,0.008710323,-0.01597165,-0.046703696,-0.01287344,-0.007880464,0.025083762,-0.019525858,0.060136452,0.00220383,0.013580878]</t>
  </si>
  <si>
    <t>{"breakdancing": {"num_samples": 20}, "dancing ballet": {"num_samples": 95}, "moon walking": {"num_samples": 180}, "salsa dancing": {"num_samples": 90}, "tap dancing": {"num_samples": 45}}</t>
  </si>
  <si>
    <t>2025-10-28 14:06:45.525602+00</t>
  </si>
  <si>
    <t>{"num_classes": 5, "used_samples": 2513, "embedding_dim": 512, "total_time_min": 10.791850928465525, "output_dir": "/content/Kinetics700_Dance_Finetuned_combo_001_full"}</t>
  </si>
  <si>
    <t>[0.015609638,-0.0013105607,0.0051316055,-0.018924361,0.01625561,-0.017854007,0.003522747,-0.014436538,-0.030890511,0.004226848,0.015688004,0.0041083093,0.03916898,0.0026298403,0.014337929,0.018955516,-0.10306521,0.031425145,-0.0059798583,-0.029453726,-0.041941866,-0.0026042182,-0.0015897665,0.0065914644,-0.02584581,0.020041449,-0.0070445654,-0.0014960977,-0.007807548,0.0046730377,-0.015701372,-0.006407034,-0.01511748,-0.02166098,0.024222163,0.011733835,-0.01899156,0.008717657,0.003980901,-0.0266532,-0.043598507,-0.010273202,-0.005621161,-0.015329836,0.006851861,0.1699203,0.06314109,-0.008329495,0.006940158,0.021364845,0.026117325,0.01704168,0.0105983475,0.0009351705,-0.0035803048,0.013776283,0.0048277723,-0.004378589,-0.027901316,-0.022679951,0.037761863,-0.0014462736,-0.010045598,0.007348969,-0.01250895,-0.0006954223,-0.04486464,0.092791386,0.00883671,-0.030006103,-0.0034997424,0.03427349,-0.008759109,0.0011800276,-0.0041576168,0.025133928,-0.005799821,-0.042058956,-0.0055160336,-0.02962744,0.007861361,-0.017392017,-0.026285363,0.02111464,0.0052131107,0.021836817,0.044426702,0.002791181,0.039735425,-0.012133719,0.008359304,0.005238718,-0.79231066,-0.0095019,-0.02392379,0.017532479,-0.0016250327,-0.022259738,-0.022080878,0.008731288,0.025412114,0.0049680364,0.02421901,0.0013383866,0.003353798,0.017978413,-0.015364272,0.02043317,-0.02416694,0.024341939,0.00504012,0.017142335,0.027065456,-0.011623912,0.029290525,-0.008746898,-0.036188312,0.024054026,0.039238475,-0.04273084,0.019912058,-0.04976977,0.0035214825,-0.006284281,0.023329085,-0.030644575,-0.02463753,-0.014561778,0.0026159808,-0.016487556,0.010007834,-0.03231317,-0.0037016987,0.10547311,0.0060586776,-0.011458791,0.014139944,-0.023814917,-0.037683487,-0.0043870127,-0.009389382,-0.015784502,0.010751963,0.0073700934,0.0046391287,-0.02045159,-0.034127343,0.036110066,-0.014334102,-0.0044277576,-0.016572494,-0.01935333,0.09416373,0.011534871,0.02973594,-0.06368448,-0.005931583,0.005216461,0.0014902038,-0.02327814,-0.040539995,0.0184297,0.016489154,0.011342785,0.007842998,-0.017617717,0.04328159,0.0048073223,-0.0015773413,-0.014410917,-0.00015300342,0.010020881,-0.007160126,0.017504036,-0.018299282,-0.010026917,0.0064173117,-0.00012235258,0.008238481,0.021123143,0.010668334,-0.037396327,0.008609922,0.01856018,0.00016178233,0.0076880916,0.0021674642,0.008500141,0.022329144,0.006081521,-0.0015669281,0.004817715,0.021490866,0.019286064,-0.020817116,0.014579743,-0.020444294,-0.024603957,-0.002856193,0.007866112,-0.02572689,-0.003465431,-0.020633925,0.0046048523,-0.004122541,0.016130392,-0.0485791,-0.0006598342,-0.015498661,0.0075373827,-0.008915566,0.047200207,0.027030196,0.004550134,0.03184196,-0.01079828,0.011749584,0.040500462,0.008702888,0.004285383,0.012381845,0.050237548,-0.012719334,-0.011850954,0.0069504445,-0.0034998446,0.010840872,-0.015104558,0.009019872,-0.006241268,-0.0184707,-0.013586426,0.008023543,-0.023019323,-0.004161373,0.048357036,-0.0024506652,-0.0073382393,0.003085226,-0.017210832,-0.005568873,0.02760797,0.019787716,0.008997357,-0.00986962,0.0637371,0.010957209,0.03472309,0.001847431,0.036371276,-0.022848662,-0.0008388106,-0.013075598,0.015005415,-0.035877846,-0.013574532,-0.0025888802,0.028187664,-0.005805485,-0.009055112,-0.011427229,0.019974956,-0.018878356,-0.04662846,0.0024632332,-0.022967618,0.0009801904,-0.019805128,-0.010826664,0.016664853,-0.031261574,0.019362558,0.012267599,-0.018192632,0.02626457,-0.04025913,-0.03349988,0.010415992,7.1514305e-06,0.00097086607,0.0012689821,0.04297138,0.0042447937,0.009447233,-0.011339957,0.024961395,0.108839326,-0.011123898,-0.011259814,-0.009733833,0.019983068,0.016817693,0.019624047,0.0076415,-0.020915933,0.025088292,-0.08304123,0.0028908735,0.022612294,-0.013731661,0.019978983,0.022797197,-0.0010445557,-0.00424575,-0.005243572,-0.07784173,0.024168761,-0.0046500056,0.021918003,0.013163263,-0.018284231,0.024497382,0.10526593,-0.020729182,0.02601649,0.009542753,0.025306957,0.03253288,0.0025836818,0.076540604,0.029672485,-0.0026512027,-0.0024481274,-0.023668366,-0.03501929,0.0061694845,-0.011022417,-0.009186112,0.019078014,-0.0029270882,-0.03137961,0.013705744,0.006376808,-0.028122535,-0.014667316,0.0014463242,-0.0016653384,0.025249284,-0.014449701,0.0023130018,-0.0046676826,-0.007653375,0.016319688,0.023519441,-0.0120871365,0.044034984,0.01296175,-0.0287635,0.008688518,0.019132694,0.09595342,0.007870067,-0.002812049,0.024921266,-0.0075135054,-0.03537724,0.014856155,0.072351314,0.0123267025,-0.0029869569,0.016239343,0.0109540615,0.013325455,-0.0011452088,-0.02392901,-0.006235585,0.0007536691,-0.100661874,0.0060300883,0.038713783,-0.0030722811,0.0031904508,0.013829293,-0.003987915,-0.007956374,0.00012946979,0.10802405,-0.004547374,-0.017604763,0.0023539609,0.0010337033,0.04942748,-0.02748136,-0.059962954,0.0015967971,-0.022066128,0.01665386,0.010476012,-0.012252572,-0.014573975,-0.071441166,0.017665962,0.0025021483,-0.0019813892,0.012222613,-0.013218652,0.013385553,0.012554922,-0.006726274,0.00095742824,0.042700812,0.02848786,0.0552332,0.0069576437,0.026380695,0.008773243,0.02045939,-0.05515687,-0.015898172,0.011568826,0.027167898,0.016835758,-0.004320363,0.0015770494,-0.017929478,-0.009935532,-0.018158669,-0.007877595,-0.0014227978,-0.014987957,0.001332206,-0.024612842,0.0021542409,0.06920763,-0.048513606,0.0049430127,-0.020493781,-0.03834638,0.078524455,0.010463783,-0.040231887,0.009559579,0.020533146,0.015071962,-0.014460605,-0.017193828,-0.0097373575,0.019564064,-0.020623991,0.002545961,0.0144938165,0.012170344,-0.007659165,0.023926336,0.04081081,-0.008250477,-0.03295819,-0.00087195076,-0.019376373,0.0056946203,0.017254489,-0.024255749,-0.022212587,0.02639186,0.036452938,-0.012037152,0.023550516,-0.017568156,0.009637766,0.020513823,-0.00061684573,-0.013656182,-0.024326012,-0.00912284,0.044403117,0.009824826,0.028372576,0.0010889111,-0.017513484,0.00027315813,-0.024941467,0.0020315035,-0.002247437,-0.029704144,-0.020575695,-0.008333926,-0.03619855,-0.008658878,-0.012107708,-0.01661945,-0.026008854,-0.043268804,-0.004963612,-0.005596064,-0.018329227,0.03477651,-0.011666691,0.0070314547,-0.0059192115,-0.013578434,-0.0038341358,-0.019226035,0.026264062,-0.02869915,0.0011794637,0.010546879,-0.016307797,-0.0045486274,-0.016376812,0.010518572,-0.0016696838,0.0064156037,0.007615167,-0.014360143,-0.048427057,-0.016536174,-0.008274057,0.023278778,-0.020244297,0.061606728,0.0016042028,0.012401688]</t>
  </si>
  <si>
    <t>{"breakdancing": {"num_samples": 502}, "dancing ballet": {"num_samples": 500}, "moon walking": {"num_samples": 502}, "salsa dancing": {"num_samples": 504}, "tap dancing": {"num_samples": 505}}</t>
  </si>
  <si>
    <t>2025-11-04 09:00:57.581492+00</t>
  </si>
  <si>
    <t>{"num_classes": 7, "used_samples": 505, "embedding_dim": 512, "total_time_min": 6.0080166220664974, "output_dir": "/content/CAER_Finetuned_combo_001_progressive"}</t>
  </si>
  <si>
    <t>[-0.023331437,0.00225688,-0.026295163,0.0014065161,0.0034987559,-0.02525244,0.030977007,-0.022440612,-0.07415411,-0.0023531462,0.0052743307,0.0033659802,0.0726932,0.042853594,-0.023665056,0.008995316,-0.048949864,-0.042231817,-0.023146922,-0.010465173,-0.010926025,-0.0036061713,-0.011464105,0.010707245,-0.033924304,0.012560843,0.011693279,-0.027906088,-0.0075791534,-0.007286347,-0.038906477,0.041206073,-0.02766328,-0.019378612,0.014017273,0.024970967,-0.04291824,0.014450897,-0.00765992,0.1774773,-0.008880575,-0.017954793,-0.045012645,0.0098545365,-0.023287844,0.2542524,-0.014385567,0.022309843,-0.0036833843,0.009441957,0.0097282715,0.0042068614,0.043739352,-0.031353883,-0.0026671598,0.014937438,-0.026088906,-0.008903465,0.0033081197,-0.00926796,-0.06279187,-0.019688254,0.030092927,-0.0025777386,-0.019846188,-0.0030293292,0.023448262,0.039881587,-0.013658723,-0.004060635,0.008012521,0.032556355,-0.0027760994,0.0051326333,-0.005635699,-0.022858603,0.00365218,-0.01077154,-0.01633441,-0.03345252,0.0014775253,0.011865014,-0.012466108,-0.02459932,-0.018898703,-0.0006150898,0.096972175,-0.006398257,-0.00081247336,-0.0009902207,0.022320906,0.025506826,-0.66109854,0.0082274955,-0.00911857,-0.003638914,-0.007004319,-0.008479416,0.11348069,0.06983368,0.010586272,-0.015503409,0.046370976,0.008824755,-0.03563035,-0.021425301,0.09209562,-0.011868976,-0.008855248,-0.0042738086,0.029682253,-0.04244474,0.005469592,0.016562575,0.016725054,0.01972661,-0.0049059433,-0.009932979,0.030036615,-0.04967686,-0.0024247786,0.020827731,0.021172097,0.0008158053,-0.023035077,-0.007125514,-0.024101973,-0.054846458,0.0075609363,-0.005383304,-0.0017703593,0.0030739808,0.006239412,0.09903305,0.014681265,-0.0034586804,-0.0132534895,-0.008092027,-0.018222129,0.012123459,-0.019346798,0.028088138,0.009726843,-0.031658527,-0.011852407,-0.00033781366,0.0015120035,0.009883606,0.023264345,-0.010068736,-0.026560692,-0.025195176,0.11787744,0.0015400713,0.020773951,-0.023246072,0.012434967,0.019062044,0.03843667,-0.0014013296,-0.07206762,-0.03097886,-0.0109458575,0.025906986,0.008275027,-0.013341131,-0.037578564,0.018109294,-0.0076291854,-0.00082879304,0.025260268,0.009338522,-0.013085667,-0.012350964,0.01716481,-0.03318628,0.05154744,0.025157964,0.0869796,-0.002327326,0.026390446,-0.017058184,0.01835987,-0.02440256,-0.018847235,0.005697553,0.0034675782,-0.015699303,-0.004782977,-0.013492635,0.009960509,-9.941686e-05,0.022571443,-0.0014062965,-0.036241204,-0.016256891,0.015142468,-0.043699224,0.02392812,-0.01142773,0.02404234,-0.021004045,0.002984739,0.041384097,-0.015910583,0.012324604,0.0069307657,0.012533268,-0.04115744,0.034932826,-0.05456953,0.0603868,0.028405514,-0.014387417,0.0043835817,-0.0008356248,0.018826546,0.031106453,0.10276104,-0.032242686,0.0028759683,0.021538055,0.00076657603,0.013473378,-0.0011186796,0.019897727,-0.00687476,-0.006845828,-0.006287554,-0.018700205,-0.062588714,-0.009124476,0.05692061,0.036465205,0.020901266,-0.008807889,0.009906213,-0.00026322037,0.0009009392,-0.001181574,-0.009118803,0.02393916,5.4369452e-06,0.0011834657,0.007630365,0.04026422,-0.0039913394,0.0653622,0.020275082,-0.011224227,-0.022619536,-0.003033971,-0.0040761954,-0.0014062052,-0.005763488,0.03107778,-0.022001116,0.009642654,-0.24197125,0.002762843,-0.015471114,0.006868416,-0.014681162,-0.07172402,0.023562767,-0.003360415,-0.05390009,0.040939398,-0.034183905,-0.018881405,-0.04148597,0.0063957213,0.009539414,-0.037614662,-0.012534945,0.009206533,0.019648116,-0.010745147,-0.020101964,-0.0082504125,0.009617464,0.009586266,-0.013419971,-0.006230407,0.021900931,0.03836243,-0.05225811,-0.03174408,-0.02579703,-0.018652532,-0.010727885,-0.003840748,0.026587717,0.050169274,-0.028818715,0.0137549555,0.004124819,0.021477753,0.013363401,0.018474037,-0.031808384,-0.015524469,0.012658165,-0.008113304,0.00876075,0.032164868,-0.031910237,0.023626877,0.0028778643,0.03719694,-0.0071166875,0.027912987,0.098801285,0.041553017,0.017845936,-0.0021613778,0.038932752,-0.00073700206,-0.011764483,0.043869913,0.035409667,-0.058340967,0.013958599,0.0019992327,-0.005907253,-7.788684e-05,0.002311053,0.012045704,0.013256276,-0.06402734,-0.009873627,0.00012427563,0.04010043,-0.031812392,-0.021021577,-0.0064899097,-0.011046263,0.026175926,-0.011442981,0.025227953,-0.025377098,-0.040507104,-0.014871051,0.03345291,-0.0053858785,-0.021996621,0.022230214,-0.015841614,0.028880408,0.042219955,0.05783729,0.0037442576,-0.0005799498,0.007270543,-0.041653033,-0.018442465,-0.008485671,-0.030048124,0.03071515,-0.035012145,-0.038425066,0.0051939557,-0.036433138,0.020811465,-0.11130907,0.013613826,0.0023173348,-0.105366595,0.022383114,0.0050709965,0.028687777,-0.017191824,0.020041548,0.03461842,0.02388165,-0.026141364,0.08789817,0.04792687,-0.029717885,0.030955443,-0.0019788863,-0.031226214,8.853515e-05,-0.03102528,0.009384753,0.01797469,-0.0261681,-0.0019773985,-0.017231181,-0.013687136,-0.038799185,0.014493673,0.023495758,0.015409314,-0.027926816,0.009265887,-0.002133116,-0.00022879805,0.022657562,-0.018253429,0.04245853,-0.013750137,-0.068702556,-0.021643592,-0.025066061,0.016946185,-0.013129953,-0.0024898537,0.004514347,-0.018450614,-0.055121824,0.025356976,-0.031936966,0.013095286,-0.051217422,0.028577087,0.009130578,0.004142502,0.0037080452,-0.01810695,-0.021942222,-0.01547558,0.019486543,-0.018351652,-0.037644014,-0.022250893,0.009983382,-0.014292125,0.056976907,-0.010447345,-0.013433065,0.04062731,-0.021300811,-0.0020936506,-0.013278603,-0.03683487,-0.016587999,0.014469461,-0.0043126913,0.03091767,0.008106997,0.014694312,0.020109892,-0.012827972,0.004556019,0.002458565,0.016385837,0.016065717,0.005826973,-0.026985416,-0.009108611,0.008156111,0.000953135,0.009564596,0.018481636,-0.008914671,0.029383063,-0.0040125875,0.0008863745,-0.0018609599,0.01535777,0.02483986,-0.007815187,-0.019694356,0.022832042,0.012967655,0.022885295,0.007891542,-0.028885132,0.011545454,0.010232328,0.012027193,0.004505648,-0.017453063,0.026777048,-0.017101223,-0.0139287375,0.008747072,0.0080310125,-0.03723389,-0.025743494,0.0034612124,0.02084655,-0.0073701236,5.677811e-05,-0.011934728,0.006361432,-0.020169042,-0.034696314,0.0018297352,0.012902566,-0.02371739,0.063239984,0.034864422,-0.0061424244,0.019060312,-0.0047507947,-0.050291996,0.00021535126,-0.0227465,-0.018317787,0.0019076905,-0.0018915171,-0.0027729047,0.014245512,-0.0091004,0.0085118655,0.042600926,0.013620029,0.07413517,0.0026737952,0.009717535]</t>
  </si>
  <si>
    <t>{"Anger": {"num_samples": 115}, "Disgust": {"num_samples": 90}, "Fear": {"num_samples": 80}, "Happy": {"num_samples": 55}, "Neutral": {"num_samples": 25}, "Sad": {"num_samples": 120}, "Surprise": {"num_samples": 20}}</t>
  </si>
  <si>
    <t>2025-11-06 18:10:24.364493+00</t>
  </si>
  <si>
    <t>{"num_classes": 7, "used_samples": 2506, "embedding_dim": 512, "total_time_min": 28.260508406162263, "output_dir": "/content/CAER_Finetuned_combo_001_full"}</t>
  </si>
  <si>
    <t>[-0.023974346,0.0028830636,-0.029125813,0.0021016535,0.004196808,-0.025425026,0.028409611,-0.02360769,-0.07632729,-0.0016880174,0.006158895,0.0035327245,0.07386064,0.044038042,-0.024499476,0.008571674,-0.050081953,-0.04330273,-0.023393512,-0.011555145,-0.008159157,-0.001372214,-0.014061091,0.011059132,-0.034089718,0.011483874,0.011462338,-0.028122231,-0.0070697144,-0.008051011,-0.038673315,0.041400384,-0.028827874,-0.019067056,0.014515216,0.023585314,-0.04368846,0.013742073,-0.007143576,0.17545108,-0.008287426,-0.017026905,-0.045501016,0.00796991,-0.023640335,0.25711957,-0.012987725,0.022456799,-0.0035985222,0.009271174,0.0093451105,0.0034224992,0.04422096,-0.030522361,-0.0018139657,0.013456436,-0.027659552,-0.009964739,0.0034494847,-0.00923359,-0.06002527,-0.018816076,0.029225215,-0.0037568093,-0.020712016,-0.0034596587,0.02116589,0.035929527,-0.013227675,-0.0049798945,0.008850202,0.03049488,-0.0031085042,0.004672571,-0.0046698907,-0.022676485,0.005592089,-0.01108093,-0.017651431,-0.031271484,0.0019790053,0.0110446,-0.011509528,-0.023755645,-0.017838921,0.0016015928,0.09681753,-0.0075921477,0.0005248411,-0.0011294087,0.019256674,0.02745987,-0.6631041,0.00683726,-0.009958262,-0.001906121,-0.0064462842,-0.0074917446,0.11559725,0.06864546,0.008092084,-0.017275602,0.04528089,0.007890521,-0.036963914,-0.023912823,0.09287404,-0.012577872,-0.010682179,-0.004601097,0.029300855,-0.043687493,0.0062526353,0.01740535,0.017168704,0.021367311,-0.001687222,-0.01232504,0.03085589,-0.049059603,-0.0013528254,0.022389611,0.02074292,0.00018585016,-0.021239517,-0.007941764,-0.024369478,-0.054032102,0.009109405,-0.0072011934,0.00022588491,0.002381531,0.005331742,0.09894961,0.015283319,-0.0038255255,-0.013032708,-0.009644839,-0.019137375,0.012986688,-0.01909562,0.026467135,0.008757944,-0.030009449,-0.009977135,-0.00081434415,0.0021581661,0.011983015,0.021091266,-0.008268272,-0.02569292,-0.02567901,0.118618265,0.0012971059,0.019080184,-0.020572139,0.01158531,0.019782774,0.03739456,-0.002552982,-0.071645625,-0.028758492,-0.012507943,0.027704721,0.0070509864,-0.014621294,-0.033367854,0.018510778,-0.007299561,-0.0021903075,0.026212847,0.01123777,-0.014022685,-0.013414256,0.015204534,-0.032970157,0.051584005,0.02400127,0.08893135,-0.0020082798,0.02692606,-0.0186596,0.016964933,-0.024677986,-0.018572802,0.0041577443,0.0023133822,-0.016475217,-0.003555258,-0.012003514,0.009443424,0.0005584302,0.021150889,-0.0034549993,-0.036406543,-0.015691664,0.015575459,-0.043177456,0.022092303,-0.011838348,0.022064684,-0.018405005,0.0029448124,0.040209588,-0.015542117,0.010674168,0.0052401777,0.01242191,-0.039895434,0.03366764,-0.052788485,0.05949658,0.028531078,-0.014520594,0.006878455,-0.0011830725,0.018335434,0.03296856,0.103622265,-0.029201858,0.0054395106,0.021764606,0.0017010388,0.01284746,0.0013846145,0.018957516,-0.008792477,-0.007875164,-0.006435608,-0.019125348,-0.06352401,-0.009723213,0.05594434,0.03239273,0.021555398,-0.007864784,0.011629052,0.001292659,0.00073968,-0.0004266029,-0.011476419,0.023606261,-0.0012281064,3.6569618e-05,0.009334988,0.039550647,-0.002809195,0.06482696,0.019979488,-0.0100253625,-0.022029897,-0.00086555426,-0.0028051196,-0.0014675426,-0.0069064475,0.030477112,-0.022165732,0.010164578,-0.24333598,0.0042567714,-0.013204223,0.0063155475,-0.016789526,-0.06958486,0.024427973,-0.0012983469,-0.05174455,0.040340554,-0.034507558,-0.02077565,-0.04161532,0.004363977,0.011214172,-0.036616042,-0.012548023,0.009788053,0.02001943,-0.0090557225,-0.019341499,-0.0099811265,0.0098981485,0.009445252,-0.011372237,-0.0065955063,0.02067277,0.040501222,-0.053521145,-0.033024456,-0.02688157,-0.020481898,-0.011097364,-0.0028519968,0.02650214,0.051718045,-0.027814927,0.015821815,1.6544103e-05,0.02069687,0.014454932,0.018195987,-0.0329753,-0.015497647,0.012774454,-0.009475584,0.009444922,0.03172107,-0.033471346,0.024382079,0.00426805,0.0360492,-0.0067498405,0.024937801,0.09872881,0.040402923,0.017953636,-0.0009516491,0.03952659,-0.0011168538,-0.013457278,0.04151249,0.037557006,-0.054787237,0.013137321,0.0010764351,-0.0057920874,0.0008553829,0.0017960774,0.01392949,0.01521751,-0.06327309,-0.0058792266,-0.00045861522,0.03935713,-0.03135217,-0.023064611,-0.0062133777,-0.011427358,0.028302485,-0.011157982,0.022856291,-0.02541692,-0.038687017,-0.013592603,0.031751897,-0.0038592913,-0.02089012,0.022224313,-0.016457744,0.027947227,0.039791558,0.057176996,0.00311512,0.0022407132,0.0089191655,-0.040441487,-0.017713292,-0.009298561,-0.02650157,0.031295832,-0.03427775,-0.038828015,0.0055420063,-0.03701166,0.020393427,-0.10902822,0.015012431,0.0015522504,-0.10508759,0.022799293,0.0049780803,0.026237745,-0.01771754,0.020344578,0.035205696,0.026033567,-0.027831854,0.08632777,0.048472956,-0.028830761,0.03068085,-0.00079614524,-0.032289352,-0.00012950678,-0.029919151,0.007737507,0.016809303,-0.025326787,0.00021866924,-0.017156243,-0.013730151,-0.039536636,0.014611385,0.022838114,0.014413159,-0.027686726,0.008952732,-0.0022777605,0.000869119,0.023792475,-0.01895265,0.0411625,-0.013155127,-0.06683066,-0.01935858,-0.023755055,0.01672769,-0.014546318,-0.0033936563,0.0072879153,-0.018457072,-0.05305753,0.026399499,-0.03181484,0.012556087,-0.051571045,0.02831175,0.008665259,0.004500641,0.0031326595,-0.020437123,-0.023028614,-0.015920414,0.018416082,-0.018313766,-0.039544117,-0.022705633,0.010220424,-0.014583466,0.05791459,-0.010870466,-0.014129297,0.038873743,-0.018247023,-0.0022524858,-0.014078421,-0.037233762,-0.01651184,0.013504259,-0.004132731,0.030330488,0.0064901323,0.015113874,0.02198981,-0.014302658,0.0063372734,0.002336681,0.0154145565,0.015680764,0.006109763,-0.026950175,-0.009485713,0.008461624,0.00068714045,0.008440419,0.020351356,-0.008779729,0.028647158,-0.0025343655,0.0009115765,-0.0032072163,0.015286866,0.022859138,-0.009261159,-0.02238341,0.021759884,0.012894702,0.022687167,0.008969761,-0.0279897,0.008998144,0.009048837,0.011111073,0.0052921353,-0.01790376,0.025546549,-0.01768192,-0.013727201,0.007296422,0.0062025487,-0.03664789,-0.026378011,0.005120229,0.024407681,-0.0074559227,-3.0889674e-05,-0.01112661,0.005561421,-0.021416536,-0.034487087,0.0024279493,0.013352772,-0.025805477,0.06157203,0.034609072,-0.003921758,0.018730192,-0.005594895,-0.046537504,-0.0005584933,-0.022689689,-0.017649088,0.0006731115,-0.0018149463,-0.0029279825,0.016161092,-0.01003082,0.009485769,0.043935392,0.011963636,0.072631754,0.0033916817,0.010210248]</t>
  </si>
  <si>
    <t>{"Anger": {"num_samples": 358}, "Disgust": {"num_samples": 358}, "Fear": {"num_samples": 358}, "Happy": {"num_samples": 358}, "Neutral": {"num_samples": 358}, "Sad": {"num_samples": 358}, "Surprise": {"num_samples": 358}}</t>
  </si>
  <si>
    <t>2025-11-06 18:30:43.662899+00</t>
  </si>
  <si>
    <t>{"num_classes": 14, "used_samples": 1095, "embedding_dim": 512, "total_time_min": 10.75886056025823, "output_dir": "/content/IPN_Finetuned_combo_001_progressive"}</t>
  </si>
  <si>
    <t>[-0.021124374,0.022029685,0.025945766,-0.018155243,0.014261473,-0.0060711256,0.026003443,0.0045156055,-0.008943816,0.008226703,0.00930651,-0.024681976,0.055918038,0.009599847,0.008975491,0.015535436,0.053614654,0.016256811,0.043825567,0.006869473,0.073366135,0.013230581,-0.038086977,-0.01650296,0.0072493944,0.021886744,-0.002688049,0.008545193,0.020662483,-0.017893234,-0.032187454,0.007031914,-0.015240484,-0.011550923,0.06849895,-0.0015687902,-0.024433628,0.00017175337,-0.01830577,-0.13346744,-0.04646421,-0.0014564518,-0.0058903527,-0.016034346,0.022070931,0.32061374,0.053698607,-0.006790717,0.022602862,0.059054967,0.0103829615,0.0231341,0.011082528,-0.006439525,-0.01210512,0.009273277,-0.0041334303,-0.0052551166,-0.035481457,-0.011404773,0.038525958,-0.009924534,0.025133025,-0.00953211,-0.03075434,0.011722148,-0.023880037,0.11427999,0.029401569,0.0011465098,-0.035342045,0.0024228918,0.0020494529,-0.003674446,0.0053354944,0.0040200152,0.008792086,0.00037359277,0.009905263,-0.056038197,0.026914509,-0.0025585154,-0.05220501,-0.014427331,0.002337054,-0.00672931,0.09132045,0.022824304,0.030386735,0.013104574,0.020203246,0.010384444,-0.7254849,-0.031962123,-0.022967419,0.012059585,-0.04182661,0.042604037,-0.02761108,0.0604088,-0.00010175164,0.003079141,0.034013927,-0.023543414,-0.049567632,0.031729635,0.0040912786,-0.012980279,0.020456793,0.018567266,0.017992571,-0.04957671,0.0034186274,0.010127125,-0.01226793,0.016853735,-0.0483962,0.026204804,0.037227567,-0.008348169,0.030727852,0.016515905,-0.02808363,0.039566502,0.006874391,-0.026236305,-0.00028415813,-0.0153399445,0.014744623,-0.051750347,0.030976042,-0.034812137,-0.0023679326,0.10199923,0.019938478,-0.010508239,-0.0066373227,0.011609279,-0.03144097,0.008465431,-0.034061547,-0.014088613,0.06256103,0.01740461,0.00038433075,-0.0049259653,-0.035890225,0.023427194,0.008607554,0.0020612816,0.007850762,-0.024694748,-0.009670597,-0.0050097844,0.013129769,-0.04400097,-0.03416047,0.012021961,0.02617168,-0.0007160924,-0.031224618,0.011874007,0.019404624,-0.006987305,-0.0008113842,-0.035074435,0.07717673,0.016581135,0.018372245,0.021650145,0.03499828,0.028361486,-0.050340045,0.02803824,-0.06758135,0.008351818,0.037270263,-0.0038070143,0.032405563,0.009979583,-0.007205523,-0.0072934334,-0.0042318436,0.019640071,-0.017679553,0.00075090636,0.00805802,0.011022259,0.0057648113,-0.004067295,0.01716231,0.02557354,-0.005430757,-0.012779283,0.068438895,0.0062558497,0.00074702315,0.00963648,0.03082999,0.0056931833,-0.008009712,0.0009924673,0.0060606454,-0.013453962,0.004670197,-0.020416874,-0.04648223,-0.033377357,-0.048247334,0.007893471,-0.038575515,0.048864152,-0.0030523262,-0.029997742,0.03482506,0.007780205,-0.001624788,0.043871094,0.11212096,-0.00046071614,0.0215309,0.032025136,0.018619284,0.0024491586,0.033716246,0.0014828754,0.011333347,0.007071263,-0.021139372,0.0004387443,-0.034024168,-0.017527845,0.0063023847,0.0059570638,0.011342882,-0.00056920655,0.010456483,-0.023213318,0.010998362,-0.020099021,-0.01411612,0.029943846,0.038603075,-0.011615116,0.008812745,0.018449245,0.014202396,0.046020526,0.011850028,-0.012236784,-0.024944585,-0.005189255,0.01801389,-0.0024426936,-0.025440667,-0.0024679732,-0.018401006,0.0075710057,0.026263585,0.019653687,-0.026531758,-0.016863722,0.007459169,-0.011643383,-0.008103304,-0.023087433,0.0138502605,-0.014641563,0.00044746706,0.018911943,0.033614013,0.014996025,-0.01412127,0.0015176735,0.0060634864,-0.045735773,-0.024294972,-0.008313812,-0.01726051,0.016932411,0.0085912235,0.013593131,0.012089953,0.023279596,-0.009113687,0.00956191,0.03396839,-0.035135537,0.01778606,-0.036974847,0.035690863,0.0025922884,-0.02742144,-0.0126078585,-0.016740235,0.030864213,-0.043580666,0.0064051934,0.008861427,-0.017445559,-0.004044347,-0.025713991,-0.0066426205,-0.0032492606,-0.0159227,-0.022903563,-0.0072076176,0.032209884,0.09389518,0.020392636,-0.021034645,0.014543637,0.10194481,-0.019982902,0.020194203,-0.027581517,0.018909559,0.0011948282,0.004208639,-0.006226533,0.0040157246,-0.003267889,-0.014419291,-0.021583678,-0.03874958,-0.014761459,-0.0020739508,-0.037105694,0.0015162787,-0.0033426012,0.0058165835,-0.0107512465,0.0399042,-0.02342168,-0.0044787056,-0.01083897,-0.013200616,-0.017041905,0.024906091,-0.001104292,-0.026600132,0.018701179,0.01915679,0.032494634,0.004558142,0.0031596166,0.008223647,-0.03015398,-0.0051229065,-0.009071211,0.08487721,-0.013405163,-0.032623712,0.043260284,0.004268084,0.041286405,0.026129367,0.060714457,-0.0020481355,-0.0090069715,-0.011749972,0.0063586812,-0.022223024,0.012584479,0.0037523713,0.026360927,-0.017630681,-0.051864,0.014595073,0.02792055,-0.0041369577,0.010552477,0.043980423,-0.0041965214,0.022696443,-0.015784547,0.0053974874,0.02164788,-0.013159813,0.013029721,0.0059404545,0.011648132,-0.028554257,-0.019272752,0.0023902685,0.0009891468,0.031336606,0.029137693,0.014884664,0.0088844495,-0.014944273,-0.03631437,-0.03518984,-0.0030790556,0.034006342,0.030674813,0.0137603255,0.0005790725,-0.034357067,-0.020783074,0.013211647,-0.014973467,0.05290896,-0.0016786276,0.0062463027,0.008714804,0.011130241,0.00041265076,0.045658424,-0.028125547,0.024232654,0.024414951,-0.03336074,0.04676991,0.0121948775,-0.033376515,-0.0025839065,-0.020959128,0.00495208,0.0008663113,-0.020538814,-0.011199918,-0.021032186,0.048813947,-0.033112016,0.0026451845,-0.0033204376,0.012384801,-0.00802669,-0.009454314,-0.018057996,0.00777754,-0.022416772,0.01890845,-0.0027830396,-0.023196278,-0.00011871251,-0.00656023,0.007396191,-0.023116468,0.011847538,-0.0018497432,0.006204556,0.032772668,0.01459686,0.00088027335,-0.0076040905,0.005115504,-0.047909595,-0.006628525,-0.0009200115,-0.016859556,-0.015806548,-0.027227996,0.030496264,0.008810286,0.022568947,0.023968585,-0.0035399767,-0.015709924,-0.0035124775,-0.038831163,-0.025809681,-0.009711407,0.045546245,-0.014484928,0.0080103185,0.007358947,-0.009269214,0.010991376,-0.0031867544,0.014619996,0.0021076975,-0.02496468,-0.0023782407,-0.021492107,0.0057142065,0.011467674,0.0013147952,-0.004889267,-0.04949291,-0.0689394,-0.002927081,-0.011822842,0.012572673,0.0078603085,-0.0042210557,0.017350279,0.004516458,-0.036213312,-0.011045455,-0.02535265,0.023419412,-0.016356785,-0.0003940841,0.02825371,0.021956867,-0.013980237,0.005454788,-0.0024578832,0.044034794,0.019739728,2.8179085e-07,-0.0011143513,-0.0068931365,-0.038382668,0.026468324,0.012357569,-0.0044957404,0.06844631,0.005254397,-0.0055203787]</t>
  </si>
  <si>
    <t>{"10_G07": {"num_samples": 55}, "11_G08": {"num_samples": 85}, "12_G09": {"num_samples": 30}, "13_G10": {"num_samples": 75}, "14_G11": {"num_samples": 140}, "1_D0X": {"num_samples": 75}, "2_B0A": {"num_samples": 60}, "3_B0B": {"num_samples": 85}, "4_G01": {"num_samples": 85}, "5_G02": {"num_samples": 95}, "6_G03": {"num_samples": 80}, "7_G04": {"num_samples": 75}, "8_G05": {"num_samples": 120}, "9_G06": {"num_samples": 35}}</t>
  </si>
  <si>
    <t>2025-11-07 04:08:35.453973+00</t>
  </si>
  <si>
    <t>{"num_classes": 14, "used_samples": 2073, "embedding_dim": 512, "total_time_min": 20.095553755760193, "output_dir": "/content/IPN_Finetuned_combo_001_full"}</t>
  </si>
  <si>
    <t>[-0.02222524,0.020219238,0.024912423,-0.018408973,0.0137303565,-0.0073558153,0.023918359,0.0040216693,-0.009497728,0.006841487,0.008790485,-0.024811076,0.057102546,0.00845519,0.010638925,0.014271364,0.050595455,0.016040536,0.043714263,0.0067807697,0.07638988,0.013376857,-0.037287787,-0.016443709,0.005971968,0.022369329,-0.0019333689,0.007994223,0.020762125,-0.018342393,-0.03263149,0.007208555,-0.014603164,-0.011304853,0.06916187,-0.002727377,-0.02433413,0.00075704366,-0.017147219,-0.1358884,-0.046341963,-0.0016470915,-0.005386306,-0.014108238,0.023826512,0.31640375,0.056119893,-0.0070929443,0.019204585,0.05840449,0.011982297,0.02358209,0.012115581,-0.0062460992,-0.012306335,0.010338383,-0.0033465843,-0.005336918,-0.0356529,-0.012843833,0.039448332,-0.010750684,0.025450515,-0.009062103,-0.030364899,0.010593694,-0.023266008,0.11248484,0.029769406,0.00011756718,-0.035236694,0.004436842,0.0015537048,-0.0044110157,0.0055148476,0.0042593456,0.0094901845,3.1783557e-06,0.008217439,-0.056061123,0.027869472,-0.0030186211,-0.055104997,-0.016500054,0.0024672623,-0.0056984583,0.09560241,0.022422196,0.030170469,0.012963543,0.020133108,0.011791696,-0.72790325,-0.03161826,-0.02088375,0.0131638395,-0.040186957,0.041334316,-0.02586681,0.061399072,0.0007377941,0.0031461872,0.033654317,-0.023082878,-0.050831582,0.031735342,0.004571254,-0.012773281,0.021012444,0.01688585,0.018515348,-0.05269923,0.00418173,0.0110406885,-0.012526635,0.015424142,-0.04820101,0.024847526,0.03791315,-0.009745115,0.031235715,0.016769662,-0.028661072,0.039276704,0.0071379407,-0.026185058,0.0011999259,-0.013234726,0.014908575,-0.053264804,0.030274132,-0.034416877,-0.0034964469,0.102237865,0.019690717,-0.011729122,-0.0071716667,0.009661698,-0.0312518,0.009796195,-0.033006154,-0.013831496,0.06018764,0.018443132,2.8854573e-05,-0.005559717,-0.03575003,0.022472885,0.007773284,0.0014266446,0.0059779002,-0.026072528,-0.009134286,-0.0049342546,0.014514162,-0.04507417,-0.033797897,0.011270364,0.025511365,0.00053182174,-0.030469393,0.012315981,0.017884703,-0.005515811,0.00039685977,-0.03665009,0.080009185,0.015853519,0.018074017,0.020659432,0.036488347,0.026877737,-0.051255114,0.026358632,-0.068239845,0.009153489,0.03676993,-0.0030064408,0.03474713,0.010121709,-0.0069486606,-0.008743888,-0.0044101495,0.020267036,-0.017898465,0.0018135931,0.0073097935,0.0103265215,0.0063690846,-0.0046211416,0.017952813,0.026054919,-0.0036576188,-0.010643985,0.0673388,0.0055425093,0.00018689434,0.009743412,0.032256357,0.006835821,-0.0106958635,0.00075683283,0.0060528833,-0.013648134,0.006456695,-0.02114082,-0.046115458,-0.034927208,-0.04724455,0.0074546896,-0.041585673,0.049709734,-0.0023565746,-0.030328102,0.03427639,0.0073775384,-0.0019820721,0.042771693,0.10957297,-0.0002055471,0.02203243,0.03281839,0.018520337,0.0015003246,0.032690983,0.0008927741,0.010409352,0.006462225,-0.022640659,-0.0007269895,-0.0333686,-0.018884335,0.0063203634,0.008403919,0.011752945,-0.0010643753,0.009430984,-0.023450552,0.01110049,-0.019380875,-0.015286428,0.028948944,0.03921525,-0.011283914,0.0073905727,0.01730417,0.0143514825,0.045080114,0.012878804,-0.010252994,-0.024398953,-0.00504796,0.0188097,-0.0020188051,-0.024790643,-0.0020793458,-0.01980502,0.0067996928,0.02524226,0.018540904,-0.026223766,-0.015582254,0.008889172,-0.0085759945,-0.008952993,-0.022466725,0.012876545,-0.015973946,-0.00043003703,0.01807208,0.0350474,0.013056113,-0.0141126765,0.0023117142,0.0074901334,-0.045157664,-0.023278732,-0.008553236,-0.01776676,0.016305463,0.010410327,0.012845954,0.011587749,0.023588482,-0.0099254595,0.00979852,0.027681312,-0.035407115,0.01665864,-0.036395747,0.036973815,0.0015541384,-0.025603566,-0.012725221,-0.017617596,0.029814815,-0.041894153,0.0063668215,0.008031186,-0.018472375,-0.0039925827,-0.026501639,-0.0082399035,-0.0013703747,-0.015878467,-0.02177474,-0.007125149,0.03217705,0.093303464,0.02021037,-0.020888345,0.014099958,0.102186725,-0.018914618,0.02048613,-0.027390296,0.01909836,0.0016548476,0.004358058,-0.0076779677,0.0039287317,-0.0034410807,-0.013273161,-0.022550384,-0.03923806,-0.012919725,-0.0007604069,-0.037296493,0.0008191509,-0.0032502052,0.008104738,-0.010969207,0.04023752,-0.02258717,-0.003963644,-0.010668737,-0.013276808,-0.016771689,0.027130187,-0.0013496085,-0.0265631,0.01985994,0.019234035,0.03274793,0.0040474636,0.001039074,0.0076160035,-0.028024849,-0.0028057531,-0.008854479,0.083440505,-0.012491717,-0.032868885,0.041976336,0.003926556,0.042011708,0.024738586,0.059182968,-0.0017274533,-0.009395469,-0.014274896,0.008567317,-0.022388639,0.013995002,0.0043279966,0.025534216,-0.016616018,-0.052986488,0.016650038,0.02848749,-0.00299974,0.011022847,0.04368061,-0.004767403,0.02254616,-0.016590629,0.0056259413,0.020987162,-0.013531557,0.012446592,0.005254523,0.008724141,-0.028284919,-0.019914323,0.0017811791,3.0127585e-05,0.03149655,0.026570573,0.015638126,0.01094039,-0.014288543,-0.038995583,-0.035360858,-0.003427268,0.034160733,0.030996986,0.014087128,0.0009923055,-0.03467477,-0.020820852,0.013244801,-0.015730055,0.052941374,-0.0010417324,0.005443881,0.009615667,0.010005509,0.000553768,0.046336412,-0.028136177,0.023813378,0.024726553,-0.03324483,0.044873748,0.012089972,-0.032958496,-0.0013999651,-0.020351633,0.0032495006,0.0003553374,-0.020566026,-0.012845272,-0.019615391,0.046523493,-0.03288874,0.0017007537,-0.0026045437,0.013398402,-0.004773969,-0.00871669,-0.019040503,0.008271762,-0.019137446,0.019690568,-0.0029871752,-0.023648571,-0.0012215645,-0.005584674,0.008136084,-0.021802051,0.011975651,-0.0021023157,0.00651093,0.033820152,0.014880184,-0.00026771877,-0.006872815,0.005929709,-0.048330117,-0.005972767,-0.0006987228,-0.017162219,-0.014642,-0.028346656,0.02813346,0.010342731,0.02141809,0.025115533,-0.002470444,-0.014162493,-0.0046905964,-0.036729656,-0.025760692,-0.010108293,0.043299418,-0.0141039565,0.007891341,0.007450827,-0.0105327545,0.011247025,-0.0033008019,0.014228523,0.0011165666,-0.025188748,-0.0035809819,-0.021346673,0.0060751042,0.01092105,0.00081286824,-0.005141981,-0.051866498,-0.06573857,-0.0030196563,-0.011640958,0.011747499,0.008114997,-0.0035413853,0.018151479,0.0039607226,-0.03423968,-0.011331582,-0.02509341,0.021987025,-0.018372439,-0.0025179524,0.027604988,0.021254033,-0.0147228455,0.0050003817,-0.0010863956,0.04303144,0.019438218,0.0011683283,-0.00097327697,-0.0042343596,-0.03779575,0.026448134,0.01147175,-0.002038607,0.06729801,0.0075612534,-0.006076235]</t>
  </si>
  <si>
    <t>{"10_G07": {"num_samples": 148}, "11_G08": {"num_samples": 148}, "12_G09": {"num_samples": 148}, "13_G10": {"num_samples": 148}, "14_G11": {"num_samples": 148}, "1_D0X": {"num_samples": 148}, "2_B0A": {"num_samples": 148}, "3_B0B": {"num_samples": 148}, "4_G01": {"num_samples": 148}, "5_G02": {"num_samples": 148}, "6_G03": {"num_samples": 148}, "7_G04": {"num_samples": 149}, "8_G05": {"num_samples": 148}, "9_G06": {"num_samples": 148}}</t>
  </si>
  <si>
    <t>2025-11-07 05:16:59.5322+00</t>
  </si>
  <si>
    <t>{"num_classes": 10, "used_samples": 892, "embedding_dim": 512, "total_time_min": 2.1528727531433107, "output_dir": "/content/UCF_Base_combo_001_progressive"}</t>
  </si>
  <si>
    <t>BASE</t>
  </si>
  <si>
    <t>[0.0010003422,0.0027111112,0.0043962914,-0.016961148,0.013272441,-0.0067581893,-0.0026328885,-0.056076806,-0.028420215,-0.013941544,-0.016894538,-0.021770148,0.06720838,0.0033209422,-0.035405427,0.022896662,-0.02082867,0.028657645,0.0013893578,-0.02584209,-0.061159305,-0.0037859275,-0.004634284,0.007877686,-0.012469316,-0.0052439775,-0.02037816,0.021155419,0.0057938388,-0.0056804856,-0.012501888,-0.013547648,-0.013043743,0.011388238,0.025274204,0.0061184075,-0.022797799,0.015222011,0.010023258,0.019293215,-0.061087523,0.0023371421,-0.031141873,-0.009912952,0.013583823,0.08838972,0.053235177,0.006688013,-0.013327279,0.04089187,0.014721647,0.021710796,0.02566406,-0.0064893407,-0.017295867,-0.0027467057,0.008880444,-0.0050466624,-0.043502513,-0.022721587,0.07673947,-0.008336247,0.030132107,0.0026616347,-0.013990607,0.0055813123,0.012394608,0.11896182,-0.007785016,-0.05093983,-0.017254217,-0.0038843108,-0.010264775,-0.00020392814,0.013074661,0.016883302,-0.015521405,-0.020341385,0.0095255645,-0.021167522,0.00053533836,0.0028980575,-0.03263527,0.00011318184,0.009913962,0.0032305692,0.00088849076,0.009843568,0.026678482,-0.027881514,-0.004347888,0.017348783,-0.746768,0.0076223924,-0.009634978,-0.023815002,-0.008118192,-0.02190925,-0.052184563,-0.039431743,0.03318804,-0.023089504,0.023775568,0.007499492,-0.006636102,-0.03253591,-0.07958137,-0.00870828,-0.015955947,0.026385887,0.026576921,0.02041005,0.017688047,0.0017616235,0.025932059,-0.00019954889,-0.010889678,0.016537875,0.024361633,-0.052926656,-0.0066478904,-0.049084444,-0.00807861,0.0012380308,0.02917221,0.007763901,-0.012641848,-0.013576388,0.016567115,-0.0038091103,0.016869253,-0.020233205,-0.0037944952,0.103894375,0.004202173,-0.032139793,-0.009236443,-0.01964469,-0.038493842,-0.002330275,-0.0015829663,0.0029653886,0.011920037,0.014590705,0.0051925085,-0.012880175,-0.049959794,0.053282473,-0.027940955,0.0031315153,-0.026676252,-0.029665112,0.02985338,0.0003973808,-0.008540248,-0.018992366,-0.034782767,0.025757149,0.024790088,-0.0118404655,-0.04568728,0.012853596,0.013243701,0.01690817,0.0126668615,0.0106860325,-0.025389288,0.0024370938,-0.011781107,-0.037220888,0.00447989,0.032527376,0.033698324,0.014632459,-0.03773381,-0.0037130644,-0.02373161,0.001167583,0.0320223,0.035289317,-0.0028081439,-0.021286832,0.007917181,0.050552513,-0.008124989,-0.006369462,-0.008035652,0.0023410486,0.045487028,0.01780262,0.004942031,-0.0020075194,0.041516546,-0.0072868643,-0.030044282,-0.009785306,0.0022442339,-0.019265145,0.026218943,0.00033671845,-0.00085103454,-0.016637476,-0.01666682,0.030851163,-0.011455617,0.0025924016,-0.03997653,-0.017958345,-0.012843958,0.006305083,-0.01764394,0.011791653,0.04043327,-0.024216615,0.020715045,-0.0058357962,0.009919255,0.03738059,0.019893767,-0.0072823926,0.060926512,-0.009393398,-0.027196819,-0.0040332237,0.012015334,0.028869782,0.01877169,-0.006624843,0.02793773,-0.0023034166,0.011668219,-0.0050632264,0.02819411,-0.041908864,0.024047336,-0.052800994,-0.006329697,-0.014252762,0.0065742363,-0.021374507,-0.007888041,0.016478654,1.498286e-05,0.008071596,-0.009322898,0.045706566,-0.0106684435,0.06386614,-0.010146774,0.023512552,-0.008676543,-0.020043198,-0.0054795695,0.015825959,-0.0033280689,0.008182931,0.00062472996,0.0024439215,0.01312623,0.009614943,-0.05576997,0.016811164,0.0046175746,-0.00029838536,0.006214643,-0.03692714,0.0064479327,-0.009683373,-0.004602521,0.024937699,-0.02947949,-0.002891353,0.011319635,-0.027853569,-0.00028299232,-0.012950866,-0.014833115,-0.008951978,-0.021134466,-0.012489597,0.012956922,0.029864674,0.028236447,0.008242762,-0.026254173,-0.005276638,0.23242097,-0.020731132,-0.0013190064,-0.004462509,0.01625138,0.010786261,-0.007595535,0.014419077,-0.011760302,0.02900967,-0.07273818,0.0028454154,0.001367018,-0.031846173,0.014677504,-0.0035247724,-0.01630238,0.005551176,-0.019978143,-0.104892746,0.048245054,0.022504555,0.027676275,-0.004418832,-0.053820796,-0.004851885,0.103709854,-0.0240812,0.039697833,0.00012903973,0.023264049,0.055684887,-0.0054552574,-0.0047738953,0.052268628,-0.07834593,-0.011190087,-0.0068955,-0.025169123,-0.005382177,0.0009485271,-0.045800734,0.021925962,-0.027462237,-0.0067158765,-0.000737744,0.036170486,-0.035645824,-0.029341979,-0.008592495,-0.009742165,0.0230557,-0.0023023705,-0.009432719,0.006321251,-0.02094847,-0.007224413,0.0024142517,-0.022446988,0.06139237,0.00050954026,-0.029131217,0.014134163,0.032883953,0.08405613,0.02950561,0.023610605,0.023046296,-0.0027742696,-0.011209774,0.017680828,0.0052577304,-0.02308933,0.0021877184,-0.006036512,-0.004107835,0.017645864,0.014401985,-0.06923233,-0.010573126,0.0056677014,-0.094501205,-0.01853323,0.032098424,-0.0066481717,-0.00016498686,0.0067289653,-0.01821142,0.015310207,-0.008388258,0.09766071,0.0075159734,-0.005702633,-0.0033441426,0.01112146,0.08716952,-0.027624281,-0.046627667,0.001449408,0.016065853,0.032699168,0.013574379,0.0004779091,-0.043270115,-0.076008454,-0.018747644,0.009141635,-0.022899954,0.015858937,0.0067155124,0.029710654,0.004253971,0.033429064,-0.020566931,0.041582316,-0.013403282,0.089467615,-0.0068376833,0.03636749,-0.011048992,-0.0113920905,-0.026015254,0.0063673584,0.003873121,0.039166287,0.029379869,-0.025615746,0.0053989314,-0.023344448,0.00028435944,-0.03308083,-0.0021775172,-0.0009938295,-0.02331243,0.024737772,-0.013582916,0.0032751062,0.07106938,-0.049140956,-0.0037908887,-0.0073534795,-0.016069245,0.041325163,-0.016394854,-0.02126151,0.030047547,-0.04854724,0.0016351745,-0.020959238,-0.021150066,-0.029274207,0.0069077653,-0.027797963,0.022706587,0.0064670388,0.033250768,-0.022133926,0.033957362,0.049732428,0.011542034,-0.013581948,0.012351713,-0.009376305,0.011017114,0.00155833,-0.011806845,-0.08226378,0.029025128,0.03501397,-0.009966894,0.024472013,-0.010931053,0.015479848,0.018015878,0.016575407,-0.0016316468,-0.010561521,-0.024428204,-0.0056873374,-0.007688615,0.03838872,0.026824117,-0.022137597,0.017103786,-0.028345607,-0.0014658702,0.036283076,-0.017855823,-0.005575139,-0.007066959,-0.0026963872,-0.014586064,0.01831172,-0.027647013,-0.016717955,-0.031389117,-0.0017748144,0.0006988966,-0.0113685215,0.023273475,-0.008096564,-0.0047717155,-0.0072305296,-0.019733906,0.01342584,-0.029966665,0.014144692,-0.01369409,-0.004624483,0.0025873024,-0.0015362904,0.004494316,-0.02098136,0.026808403,-0.045226898,-0.01956344,-0.009015432,-0.006068197,0.023839679,-0.028276347,0.004752839,0.006202364,0.00089183665,0.06356973,0.002026085,0.010792013]</t>
  </si>
  <si>
    <t>{"Archery": {"num_samples": 55}, "BalanceBeam": {"num_samples": 81}, "Billiards": {"num_samples": 112}, "Bowling": {"num_samples": 116}, "CricketShot": {"num_samples": 80}, "HammerThrow": {"num_samples": 80}, "IceDancing": {"num_samples": 118}, "Kayaking": {"num_samples": 105}, "RockClimbingIndoor": {"num_samples": 85}, "TennisSwing": {"num_samples": 60}}</t>
  </si>
  <si>
    <t>2025-11-07 05:39:05.026725+00</t>
  </si>
  <si>
    <t>{"num_classes": 10, "used_samples": 1109, "embedding_dim": 512, "total_time_min": 2.5750077247619627, "output_dir": "/content/UCF_Base_combo_001_full"}</t>
  </si>
  <si>
    <t>[0.001474649,0.0030965167,0.0044661243,-0.017275626,0.013686345,-0.0068206387,-0.0029165533,-0.054996602,-0.027695883,-0.013849319,-0.01721032,-0.022319632,0.0656902,0.0033527077,-0.035400726,0.023041701,-0.019293247,0.029114453,0.0017578853,-0.025103642,-0.061576568,-0.0039745183,-0.004973889,0.007844678,-0.012425136,-0.005061018,-0.020444188,0.020768862,0.0060194074,-0.006005003,-0.012593603,-0.013837962,-0.012241386,0.011739712,0.02545147,0.005952508,-0.022522528,0.014815858,0.00930341,0.018770672,-0.06023678,0.0017465163,-0.0319301,-0.009661226,0.014070937,0.08535944,0.052728597,0.0071651456,-0.012954369,0.03990841,0.014285893,0.022115016,0.024858328,-0.006343978,-0.017417321,-0.002663548,0.008732894,-0.0048268996,-0.043437544,-0.022219531,0.07732996,-0.008969515,0.029839586,0.0023252422,-0.013757315,0.0054582087,0.011259056,0.1199366,-0.008096603,-0.050643835,-0.017763825,-0.0037104653,-0.01072602,-3.1193622e-06,0.012327942,0.017072566,-0.014915558,-0.020641502,0.010115954,-0.021005297,0.00081847224,0.003147091,-0.03315205,-2.3949795e-05,0.010586019,0.0029724382,0.0008607415,0.01000964,0.027443897,-0.027412977,-0.0045015356,0.017344778,-0.74805087,0.007943735,-0.009347827,-0.024218882,-0.008259837,-0.021664472,-0.05302144,-0.03835478,0.032960527,-0.022720175,0.024403617,0.0081762895,-0.006239946,-0.03267996,-0.08048287,-0.007536439,-0.015162109,0.026068306,0.026641047,0.02029853,0.01712177,0.002454254,0.02527002,-0.00032682967,-0.011418051,0.016342407,0.024050128,-0.05287657,-0.0061027883,-0.049144793,-0.00801859,0.0011756397,0.029110169,0.0079230815,-0.01250214,-0.013207251,0.016905854,-0.0027260366,0.016633747,-0.020547895,-0.0038358155,0.104113355,0.004053483,-0.03158545,-0.010272995,-0.019289277,-0.03842012,-0.002236069,-0.0010170602,0.0027431159,0.01270271,0.014313757,0.0052455547,-0.012339321,-0.05008206,0.05277832,-0.027546436,0.002986997,-0.027437167,-0.029502885,0.02922107,0.000120711346,-0.008847158,-0.018454308,-0.03486715,0.025351642,0.024445293,-0.011793452,-0.04420296,0.012468962,0.013279048,0.016243048,0.012854022,0.010787346,-0.024815371,0.002674615,-0.011860436,-0.036254026,0.003433105,0.032336015,0.034193613,0.013850521,-0.037630305,-0.003504638,-0.024061505,0.0012303038,0.031209253,0.035642777,-0.0030582084,-0.021697236,0.0077746627,0.049952574,-0.0079822,-0.0064929957,-0.0076132896,0.0022324927,0.045413565,0.017956687,0.005214402,-0.0028302302,0.040554643,-0.0076358644,-0.02956271,-0.009871234,0.0028203027,-0.01811694,0.027077567,0.00062827615,-0.00066574797,-0.016305316,-0.017798701,0.030527096,-0.010810958,0.0022816304,-0.039398555,-0.019173933,-0.012798347,0.006039428,-0.017357167,0.009942307,0.03999343,-0.024568975,0.020668177,-0.006048721,0.009665248,0.03644885,0.020396408,-0.0066068457,0.06042454,-0.0101107685,-0.027355244,-0.004413369,0.012649052,0.0290558,0.018993033,-0.006391069,0.027732324,-0.0021042726,0.011364016,-0.0049099918,0.028338341,-0.04254264,0.023983467,-0.053124066,-0.006956582,-0.014077092,0.006143969,-0.021133924,-0.0071485364,0.016647533,-0.00031883045,0.007369674,-0.009448734,0.045669362,-0.012018367,0.064246856,-0.010220379,0.0234812,-0.008817786,-0.020144815,-0.0052971197,0.015895013,-0.0043319413,0.007908182,5.9086484e-05,0.0017170566,0.013044812,0.009469765,-0.055475067,0.016967095,0.0043114927,-0.0021377965,0.006034276,-0.036356475,0.0061936784,-0.010179721,-0.004213021,0.024136461,-0.029826365,-0.002547283,0.01056571,-0.027716435,-0.0010327416,-0.013259006,-0.014797216,-0.009244167,-0.021060325,-0.01268834,0.012883532,0.029593559,0.027625132,0.008248659,-0.02663596,-0.0046220883,0.23075475,-0.020154055,-0.0007576041,-0.0043642344,0.016285535,0.011693851,-0.006911033,0.014267712,-0.011372393,0.029252764,-0.07483768,0.0027451862,0.001416472,-0.031961408,0.015068735,-0.0046221213,-0.016535698,0.0054128403,-0.020004403,-0.10546139,0.047431998,0.022807006,0.027653981,-0.0035986109,-0.05333587,-0.004719679,0.103931084,-0.024390401,0.040670007,0.0009133022,0.022445412,0.05496411,-0.0051047825,-0.005422611,0.05228324,-0.0775019,-0.011887418,-0.006559602,-0.0250671,-0.005147879,-5.9748134e-05,-0.04723164,0.022957638,-0.026795138,-0.007246509,-0.0005039325,0.036467846,-0.034571737,-0.02879351,-0.009275146,-0.010282016,0.022333622,-0.0022942526,-0.009902403,0.00696917,-0.021320796,-0.0073828283,0.0025951057,-0.022686139,0.06101738,0.0009961403,-0.028664226,0.014487823,0.032732666,0.08416614,0.029357376,0.023886666,0.023533441,-0.0029431852,-0.010273485,0.018965023,0.0056843488,-0.023452371,0.0012312233,-0.00509253,-0.0036564602,0.01691634,0.014197563,-0.06815585,-0.010469648,0.0056372993,-0.09562368,-0.018259065,0.03213827,-0.0072952285,0.0006520001,0.0066047423,-0.018141873,0.016112974,-0.008499661,0.0980996,0.006513952,-0.0062662447,-0.002564676,0.011143451,0.08717598,-0.027198201,-0.046284657,0.00080149097,0.016373202,0.032726504,0.013093443,0.0012498928,-0.047336645,-0.07660712,-0.018466167,0.008732394,-0.022844942,0.01624129,0.0070357667,0.030069968,0.0040881755,0.03361319,-0.020588662,0.04133397,-0.013410987,0.089893915,-0.0069725006,0.03673381,-0.011662838,-0.011024903,-0.025752021,0.006596937,0.004107459,0.03919137,0.029336123,-0.02520464,0.0054544797,-0.023015657,-0.00019240746,-0.032895934,-0.0024493448,-0.0007230355,-0.023364196,0.024619667,-0.013848973,0.0030343265,0.0701722,-0.048740927,-0.0036101944,-0.0075858166,-0.016463801,0.041662697,-0.016497804,-0.020428501,0.029858278,-0.047082998,0.002026071,-0.021197729,-0.020893417,-0.029677907,0.0073335227,-0.028091054,0.022325529,0.006853709,0.032627087,-0.021592751,0.03294824,0.049470052,0.011274733,-0.01315323,0.011493995,-0.00942744,0.011015781,0.0014941563,-0.012182535,-0.08222044,0.029014034,0.03492282,-0.010065633,0.024734674,-0.010909019,0.014835419,0.017111769,0.015933035,-0.001563995,-0.010427291,-0.024152517,-0.0058374624,-0.0077198087,0.03818894,0.026386606,-0.022040604,0.016802251,-0.027937429,-0.0014341942,0.036721848,-0.018482262,-0.004861667,-0.006282966,-0.0019767364,-0.015080306,0.018190296,-0.027692001,-0.016445197,-0.03096889,-0.0015105143,0.0005877044,-0.011310879,0.023221137,-0.0074033514,-0.0037616447,-0.007642055,-0.020672185,0.012718855,-0.02968702,0.01575165,-0.013913034,-0.0052032624,0.0034820868,-0.0018738665,0.004327869,-0.020776942,0.02662322,-0.045313172,-0.019252446,-0.008556148,-0.0051037446,0.024474816,-0.027955651,0.0053773155,0.006220447,0.001283014,0.063279845,0.0018922108,0.011224448]</t>
  </si>
  <si>
    <t>{"Archery": {"num_samples": 108}, "BalanceBeam": {"num_samples": 81}, "Billiards": {"num_samples": 112}, "Bowling": {"num_samples": 116}, "CricketShot": {"num_samples": 125}, "HammerThrow": {"num_samples": 112}, "IceDancing": {"num_samples": 118}, "Kayaking": {"num_samples": 105}, "RockClimbingIndoor": {"num_samples": 108}, "TennisSwing": {"num_samples": 124}}</t>
  </si>
  <si>
    <t>F1</t>
  </si>
  <si>
    <t>Accuracy</t>
  </si>
  <si>
    <t>t1_Bayesian_ipn</t>
  </si>
  <si>
    <t>t2_TARP_ipn</t>
  </si>
  <si>
    <t>t1_Bayesian_ucf</t>
  </si>
  <si>
    <t>t2_TARP_ucf</t>
  </si>
  <si>
    <t>t1_Bayesian_k700</t>
  </si>
  <si>
    <t>t2_TARP_k700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</si>
</sst>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E+00"/>
    <numFmt numFmtId="60" formatCode="0.000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0"/>
      <color indexed="22"/>
      <name val="Inconsolata"/>
    </font>
    <font>
      <sz val="11"/>
      <color indexed="8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</fills>
  <borders count="4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11" fontId="0" borderId="1" applyNumberFormat="1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11" fontId="0" fillId="2" borderId="4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11" fontId="0" borderId="9" applyNumberFormat="1" applyFont="1" applyFill="0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11" fontId="0" fillId="4" borderId="4" applyNumberFormat="1" applyFont="1" applyFill="1" applyBorder="1" applyAlignment="1" applyProtection="0">
      <alignment vertical="bottom"/>
    </xf>
    <xf numFmtId="11" fontId="0" borderId="10" applyNumberFormat="1" applyFont="1" applyFill="0" applyBorder="1" applyAlignment="1" applyProtection="0">
      <alignment vertical="bottom"/>
    </xf>
    <xf numFmtId="0" fontId="0" borderId="11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11" fontId="0" borderId="11" applyNumberFormat="1" applyFont="1" applyFill="0" applyBorder="1" applyAlignment="1" applyProtection="0">
      <alignment vertical="bottom"/>
    </xf>
    <xf numFmtId="11" fontId="0" fillId="3" borderId="4" applyNumberFormat="1" applyFont="1" applyFill="1" applyBorder="1" applyAlignment="1" applyProtection="0">
      <alignment vertical="bottom"/>
    </xf>
    <xf numFmtId="11" fontId="0" borderId="4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11" fontId="0" borderId="2" applyNumberFormat="1" applyFont="1" applyFill="0" applyBorder="1" applyAlignment="1" applyProtection="0">
      <alignment vertical="bottom"/>
    </xf>
    <xf numFmtId="11" fontId="0" borderId="12" applyNumberFormat="1" applyFont="1" applyFill="0" applyBorder="1" applyAlignment="1" applyProtection="0">
      <alignment vertical="bottom"/>
    </xf>
    <xf numFmtId="11" fontId="0" borderId="5" applyNumberFormat="1" applyFont="1" applyFill="0" applyBorder="1" applyAlignment="1" applyProtection="0">
      <alignment vertical="bottom"/>
    </xf>
    <xf numFmtId="0" fontId="0" borderId="13" applyNumberFormat="1" applyFont="1" applyFill="0" applyBorder="1" applyAlignment="1" applyProtection="0">
      <alignment vertical="bottom"/>
    </xf>
    <xf numFmtId="0" fontId="0" borderId="12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11" fontId="0" borderId="14" applyNumberFormat="1" applyFont="1" applyFill="0" applyBorder="1" applyAlignment="1" applyProtection="0">
      <alignment vertical="bottom"/>
    </xf>
    <xf numFmtId="11" fontId="0" borderId="7" applyNumberFormat="1" applyFont="1" applyFill="0" applyBorder="1" applyAlignment="1" applyProtection="0">
      <alignment vertical="bottom"/>
    </xf>
    <xf numFmtId="0" fontId="0" borderId="15" applyNumberFormat="1" applyFont="1" applyFill="0" applyBorder="1" applyAlignment="1" applyProtection="0">
      <alignment vertical="bottom"/>
    </xf>
    <xf numFmtId="0" fontId="0" borderId="14" applyNumberFormat="1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5" borderId="3" applyNumberFormat="1" applyFont="1" applyFill="1" applyBorder="1" applyAlignment="1" applyProtection="0">
      <alignment vertical="bottom"/>
    </xf>
    <xf numFmtId="11" fontId="0" fillId="5" borderId="4" applyNumberFormat="1" applyFont="1" applyFill="1" applyBorder="1" applyAlignment="1" applyProtection="0">
      <alignment vertical="bottom"/>
    </xf>
    <xf numFmtId="0" fontId="0" fillId="5" borderId="4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fillId="6" borderId="3" applyNumberFormat="1" applyFont="1" applyFill="1" applyBorder="1" applyAlignment="1" applyProtection="0">
      <alignment vertical="bottom"/>
    </xf>
    <xf numFmtId="11" fontId="0" fillId="6" borderId="4" applyNumberFormat="1" applyFont="1" applyFill="1" applyBorder="1" applyAlignment="1" applyProtection="0">
      <alignment vertical="bottom"/>
    </xf>
    <xf numFmtId="0" fontId="0" fillId="6" borderId="4" applyNumberFormat="1" applyFont="1" applyFill="1" applyBorder="1" applyAlignment="1" applyProtection="0">
      <alignment vertical="bottom"/>
    </xf>
    <xf numFmtId="49" fontId="0" fillId="7" borderId="3" applyNumberFormat="1" applyFont="1" applyFill="1" applyBorder="1" applyAlignment="1" applyProtection="0">
      <alignment vertical="bottom"/>
    </xf>
    <xf numFmtId="11" fontId="0" borderId="4" applyNumberFormat="1" applyFont="1" applyFill="0" applyBorder="1" applyAlignment="1" applyProtection="0">
      <alignment horizontal="right" vertical="bottom"/>
    </xf>
    <xf numFmtId="0" fontId="0" borderId="4" applyNumberFormat="1" applyFont="1" applyFill="0" applyBorder="1" applyAlignment="1" applyProtection="0">
      <alignment horizontal="right" vertical="bottom"/>
    </xf>
    <xf numFmtId="11" fontId="0" fillId="7" borderId="4" applyNumberFormat="1" applyFont="1" applyFill="1" applyBorder="1" applyAlignment="1" applyProtection="0">
      <alignment vertical="bottom"/>
    </xf>
    <xf numFmtId="0" fontId="0" fillId="7" borderId="4" applyNumberFormat="1" applyFont="1" applyFill="1" applyBorder="1" applyAlignment="1" applyProtection="0">
      <alignment vertical="bottom"/>
    </xf>
    <xf numFmtId="49" fontId="0" fillId="8" borderId="3" applyNumberFormat="1" applyFont="1" applyFill="1" applyBorder="1" applyAlignment="1" applyProtection="0">
      <alignment vertical="bottom"/>
    </xf>
    <xf numFmtId="0" fontId="0" borderId="11" applyNumberFormat="1" applyFont="1" applyFill="0" applyBorder="1" applyAlignment="1" applyProtection="0">
      <alignment horizontal="right" vertical="bottom"/>
    </xf>
    <xf numFmtId="11" fontId="0" borderId="8" applyNumberFormat="1" applyFont="1" applyFill="0" applyBorder="1" applyAlignment="1" applyProtection="0">
      <alignment horizontal="right" vertical="bottom"/>
    </xf>
    <xf numFmtId="0" fontId="0" borderId="9" applyNumberFormat="1" applyFont="1" applyFill="0" applyBorder="1" applyAlignment="1" applyProtection="0">
      <alignment horizontal="right" vertical="bottom"/>
    </xf>
    <xf numFmtId="11" fontId="0" fillId="8" borderId="4" applyNumberFormat="1" applyFont="1" applyFill="1" applyBorder="1" applyAlignment="1" applyProtection="0">
      <alignment vertical="bottom"/>
    </xf>
    <xf numFmtId="0" fontId="0" borderId="8" applyNumberFormat="1" applyFont="1" applyFill="0" applyBorder="1" applyAlignment="1" applyProtection="0">
      <alignment horizontal="right" vertical="bottom"/>
    </xf>
    <xf numFmtId="0" fontId="0" fillId="8" borderId="4" applyNumberFormat="1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horizontal="right" vertical="bottom"/>
    </xf>
    <xf numFmtId="11" fontId="0" borderId="2" applyNumberFormat="1" applyFont="1" applyFill="0" applyBorder="1" applyAlignment="1" applyProtection="0">
      <alignment horizontal="right" vertical="bottom"/>
    </xf>
    <xf numFmtId="0" fontId="0" borderId="12" applyNumberFormat="1" applyFont="1" applyFill="0" applyBorder="1" applyAlignment="1" applyProtection="0">
      <alignment horizontal="right" vertical="bottom"/>
    </xf>
    <xf numFmtId="11" fontId="0" borderId="13" applyNumberFormat="1" applyFont="1" applyFill="0" applyBorder="1" applyAlignment="1" applyProtection="0">
      <alignment horizontal="right" vertical="bottom"/>
    </xf>
    <xf numFmtId="0" fontId="0" borderId="13" applyNumberFormat="1" applyFont="1" applyFill="0" applyBorder="1" applyAlignment="1" applyProtection="0">
      <alignment horizontal="right" vertical="bottom"/>
    </xf>
    <xf numFmtId="11" fontId="0" borderId="12" applyNumberFormat="1" applyFont="1" applyFill="0" applyBorder="1" applyAlignment="1" applyProtection="0">
      <alignment horizontal="right" vertical="bottom"/>
    </xf>
    <xf numFmtId="11" fontId="0" borderId="13" applyNumberFormat="1" applyFont="1" applyFill="0" applyBorder="1" applyAlignment="1" applyProtection="0">
      <alignment vertical="bottom"/>
    </xf>
    <xf numFmtId="11" fontId="0" borderId="8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9" borderId="4" applyNumberFormat="0" applyFont="1" applyFill="1" applyBorder="1" applyAlignment="1" applyProtection="0">
      <alignment vertical="bottom"/>
    </xf>
    <xf numFmtId="11" fontId="0" borderId="15" applyNumberFormat="1" applyFont="1" applyFill="0" applyBorder="1" applyAlignment="1" applyProtection="0">
      <alignment vertical="bottom"/>
    </xf>
    <xf numFmtId="49" fontId="0" borderId="16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11" fontId="0" fillId="9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59" fontId="0" fillId="5" borderId="4" applyNumberFormat="1" applyFont="1" applyFill="1" applyBorder="1" applyAlignment="1" applyProtection="0">
      <alignment vertical="bottom"/>
    </xf>
    <xf numFmtId="59" fontId="0" fillId="7" borderId="4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59" fontId="0" fillId="9" borderId="4" applyNumberFormat="1" applyFont="1" applyFill="1" applyBorder="1" applyAlignment="1" applyProtection="0">
      <alignment vertical="bottom"/>
    </xf>
    <xf numFmtId="59" fontId="0" fillId="10" borderId="4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11" fontId="0" borderId="16" applyNumberFormat="1" applyFont="1" applyFill="0" applyBorder="1" applyAlignment="1" applyProtection="0">
      <alignment vertical="bottom"/>
    </xf>
    <xf numFmtId="0" fontId="0" fillId="8" borderId="4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0" fontId="3" borderId="17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3" borderId="18" applyNumberFormat="0" applyFont="1" applyFill="0" applyBorder="1" applyAlignment="1" applyProtection="0">
      <alignment vertical="bottom"/>
    </xf>
    <xf numFmtId="49" fontId="3" borderId="19" applyNumberFormat="1" applyFont="1" applyFill="0" applyBorder="1" applyAlignment="1" applyProtection="0">
      <alignment vertical="bottom"/>
    </xf>
    <xf numFmtId="49" fontId="3" borderId="20" applyNumberFormat="1" applyFont="1" applyFill="0" applyBorder="1" applyAlignment="1" applyProtection="0">
      <alignment vertical="bottom"/>
    </xf>
    <xf numFmtId="49" fontId="3" borderId="21" applyNumberFormat="1" applyFont="1" applyFill="0" applyBorder="1" applyAlignment="1" applyProtection="0">
      <alignment vertical="bottom"/>
    </xf>
    <xf numFmtId="49" fontId="3" borderId="22" applyNumberFormat="1" applyFont="1" applyFill="0" applyBorder="1" applyAlignment="1" applyProtection="0">
      <alignment vertical="bottom"/>
    </xf>
    <xf numFmtId="0" fontId="0" fillId="11" borderId="18" applyNumberFormat="0" applyFont="1" applyFill="1" applyBorder="1" applyAlignment="1" applyProtection="0">
      <alignment horizontal="center" vertical="center"/>
    </xf>
    <xf numFmtId="49" fontId="0" fillId="11" borderId="23" applyNumberFormat="1" applyFont="1" applyFill="1" applyBorder="1" applyAlignment="1" applyProtection="0">
      <alignment horizontal="center" vertical="center"/>
    </xf>
    <xf numFmtId="0" fontId="0" fillId="11" borderId="23" applyNumberFormat="1" applyFont="1" applyFill="1" applyBorder="1" applyAlignment="1" applyProtection="0">
      <alignment horizontal="center" vertical="center"/>
    </xf>
    <xf numFmtId="49" fontId="0" borderId="24" applyNumberFormat="1" applyFont="1" applyFill="0" applyBorder="1" applyAlignment="1" applyProtection="0">
      <alignment vertical="bottom"/>
    </xf>
    <xf numFmtId="0" fontId="0" borderId="25" applyNumberFormat="1" applyFont="1" applyFill="0" applyBorder="1" applyAlignment="1" applyProtection="0">
      <alignment vertical="bottom"/>
    </xf>
    <xf numFmtId="10" fontId="0" borderId="25" applyNumberFormat="1" applyFont="1" applyFill="0" applyBorder="1" applyAlignment="1" applyProtection="0">
      <alignment vertical="bottom"/>
    </xf>
    <xf numFmtId="10" fontId="0" borderId="26" applyNumberFormat="1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0" fillId="5" borderId="28" applyNumberFormat="1" applyFont="1" applyFill="1" applyBorder="1" applyAlignment="1" applyProtection="0">
      <alignment vertical="bottom"/>
    </xf>
    <xf numFmtId="10" fontId="0" fillId="5" borderId="4" applyNumberFormat="1" applyFont="1" applyFill="1" applyBorder="1" applyAlignment="1" applyProtection="0">
      <alignment vertical="bottom"/>
    </xf>
    <xf numFmtId="10" fontId="0" fillId="5" borderId="29" applyNumberFormat="1" applyFont="1" applyFill="1" applyBorder="1" applyAlignment="1" applyProtection="0">
      <alignment vertical="bottom"/>
    </xf>
    <xf numFmtId="49" fontId="0" fillId="7" borderId="28" applyNumberFormat="1" applyFont="1" applyFill="1" applyBorder="1" applyAlignment="1" applyProtection="0">
      <alignment vertical="bottom"/>
    </xf>
    <xf numFmtId="10" fontId="0" fillId="7" borderId="4" applyNumberFormat="1" applyFont="1" applyFill="1" applyBorder="1" applyAlignment="1" applyProtection="0">
      <alignment vertical="bottom"/>
    </xf>
    <xf numFmtId="49" fontId="0" fillId="6" borderId="28" applyNumberFormat="1" applyFont="1" applyFill="1" applyBorder="1" applyAlignment="1" applyProtection="0">
      <alignment vertical="bottom"/>
    </xf>
    <xf numFmtId="10" fontId="0" fillId="6" borderId="4" applyNumberFormat="1" applyFont="1" applyFill="1" applyBorder="1" applyAlignment="1" applyProtection="0">
      <alignment vertical="bottom"/>
    </xf>
    <xf numFmtId="10" fontId="0" fillId="6" borderId="29" applyNumberFormat="1" applyFont="1" applyFill="1" applyBorder="1" applyAlignment="1" applyProtection="0">
      <alignment vertical="bottom"/>
    </xf>
    <xf numFmtId="49" fontId="0" borderId="28" applyNumberFormat="1" applyFont="1" applyFill="0" applyBorder="1" applyAlignment="1" applyProtection="0">
      <alignment vertical="bottom"/>
    </xf>
    <xf numFmtId="10" fontId="0" borderId="8" applyNumberFormat="1" applyFont="1" applyFill="0" applyBorder="1" applyAlignment="1" applyProtection="0">
      <alignment vertical="bottom"/>
    </xf>
    <xf numFmtId="10" fontId="0" borderId="30" applyNumberFormat="1" applyFont="1" applyFill="0" applyBorder="1" applyAlignment="1" applyProtection="0">
      <alignment vertical="bottom"/>
    </xf>
    <xf numFmtId="10" fontId="0" borderId="2" applyNumberFormat="1" applyFont="1" applyFill="0" applyBorder="1" applyAlignment="1" applyProtection="0">
      <alignment vertical="bottom"/>
    </xf>
    <xf numFmtId="10" fontId="0" borderId="18" applyNumberFormat="1" applyFont="1" applyFill="0" applyBorder="1" applyAlignment="1" applyProtection="0">
      <alignment vertical="bottom"/>
    </xf>
    <xf numFmtId="10" fontId="0" borderId="1" applyNumberFormat="1" applyFont="1" applyFill="0" applyBorder="1" applyAlignment="1" applyProtection="0">
      <alignment vertical="bottom"/>
    </xf>
    <xf numFmtId="10" fontId="0" borderId="31" applyNumberFormat="1" applyFont="1" applyFill="0" applyBorder="1" applyAlignment="1" applyProtection="0">
      <alignment vertical="bottom"/>
    </xf>
    <xf numFmtId="10" fontId="0" fillId="7" borderId="29" applyNumberFormat="1" applyFont="1" applyFill="1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49" fontId="0" fillId="7" borderId="33" applyNumberFormat="1" applyFont="1" applyFill="1" applyBorder="1" applyAlignment="1" applyProtection="0">
      <alignment vertical="bottom"/>
    </xf>
    <xf numFmtId="0" fontId="0" fillId="7" borderId="34" applyNumberFormat="1" applyFont="1" applyFill="1" applyBorder="1" applyAlignment="1" applyProtection="0">
      <alignment vertical="bottom"/>
    </xf>
    <xf numFmtId="10" fontId="0" fillId="7" borderId="34" applyNumberFormat="1" applyFont="1" applyFill="1" applyBorder="1" applyAlignment="1" applyProtection="0">
      <alignment vertical="bottom"/>
    </xf>
    <xf numFmtId="0" fontId="0" fillId="5" borderId="34" applyNumberFormat="1" applyFont="1" applyFill="1" applyBorder="1" applyAlignment="1" applyProtection="0">
      <alignment vertical="bottom"/>
    </xf>
    <xf numFmtId="10" fontId="0" fillId="5" borderId="35" applyNumberFormat="1" applyFont="1" applyFill="1" applyBorder="1" applyAlignment="1" applyProtection="0">
      <alignment vertical="bottom"/>
    </xf>
    <xf numFmtId="10" fontId="0" fillId="7" borderId="35" applyNumberFormat="1" applyFont="1" applyFill="1" applyBorder="1" applyAlignment="1" applyProtection="0">
      <alignment vertical="bottom"/>
    </xf>
    <xf numFmtId="49" fontId="0" borderId="25" applyNumberFormat="1" applyFont="1" applyFill="0" applyBorder="1" applyAlignment="1" applyProtection="0">
      <alignment horizontal="right" vertical="bottom"/>
    </xf>
    <xf numFmtId="0" fontId="0" borderId="25" applyNumberFormat="0" applyFont="1" applyFill="0" applyBorder="1" applyAlignment="1" applyProtection="0">
      <alignment vertical="bottom"/>
    </xf>
    <xf numFmtId="0" fontId="0" fillId="7" borderId="4" applyNumberFormat="1" applyFont="1" applyFill="1" applyBorder="1" applyAlignment="1" applyProtection="0">
      <alignment horizontal="right" vertical="bottom"/>
    </xf>
    <xf numFmtId="0" fontId="0" fillId="5" borderId="4" applyNumberFormat="1" applyFont="1" applyFill="1" applyBorder="1" applyAlignment="1" applyProtection="0">
      <alignment horizontal="right" vertical="bottom"/>
    </xf>
    <xf numFmtId="49" fontId="0" fillId="12" borderId="28" applyNumberFormat="1" applyFont="1" applyFill="1" applyBorder="1" applyAlignment="1" applyProtection="0">
      <alignment vertical="bottom"/>
    </xf>
    <xf numFmtId="0" fontId="0" fillId="12" borderId="4" applyNumberFormat="1" applyFont="1" applyFill="1" applyBorder="1" applyAlignment="1" applyProtection="0">
      <alignment vertical="bottom"/>
    </xf>
    <xf numFmtId="10" fontId="0" fillId="12" borderId="4" applyNumberFormat="1" applyFont="1" applyFill="1" applyBorder="1" applyAlignment="1" applyProtection="0">
      <alignment vertical="bottom"/>
    </xf>
    <xf numFmtId="10" fontId="0" fillId="12" borderId="29" applyNumberFormat="1" applyFont="1" applyFill="1" applyBorder="1" applyAlignment="1" applyProtection="0">
      <alignment vertical="bottom"/>
    </xf>
    <xf numFmtId="49" fontId="0" fillId="12" borderId="33" applyNumberFormat="1" applyFont="1" applyFill="1" applyBorder="1" applyAlignment="1" applyProtection="0">
      <alignment vertical="bottom"/>
    </xf>
    <xf numFmtId="0" fontId="0" fillId="12" borderId="34" applyNumberFormat="1" applyFont="1" applyFill="1" applyBorder="1" applyAlignment="1" applyProtection="0">
      <alignment vertical="bottom"/>
    </xf>
    <xf numFmtId="10" fontId="0" fillId="12" borderId="34" applyNumberFormat="1" applyFont="1" applyFill="1" applyBorder="1" applyAlignment="1" applyProtection="0">
      <alignment vertical="bottom"/>
    </xf>
    <xf numFmtId="10" fontId="0" fillId="12" borderId="35" applyNumberFormat="1" applyFont="1" applyFill="1" applyBorder="1" applyAlignment="1" applyProtection="0">
      <alignment vertical="bottom"/>
    </xf>
    <xf numFmtId="49" fontId="0" borderId="36" applyNumberFormat="1" applyFont="1" applyFill="0" applyBorder="1" applyAlignment="1" applyProtection="0">
      <alignment vertical="bottom"/>
    </xf>
    <xf numFmtId="49" fontId="0" borderId="37" applyNumberFormat="1" applyFont="1" applyFill="0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0" borderId="39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40" applyNumberFormat="1" applyFont="1" applyFill="0" applyBorder="1" applyAlignment="1" applyProtection="0">
      <alignment vertical="bottom"/>
    </xf>
    <xf numFmtId="49" fontId="0" borderId="33" applyNumberFormat="1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0" fontId="0" borderId="42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bottom"/>
    </xf>
    <xf numFmtId="0" fontId="3" borderId="6" applyNumberFormat="0" applyFont="1" applyFill="0" applyBorder="1" applyAlignment="1" applyProtection="0">
      <alignment vertical="bottom"/>
    </xf>
    <xf numFmtId="0" fontId="0" fillId="11" borderId="4" applyNumberFormat="0" applyFont="1" applyFill="1" applyBorder="1" applyAlignment="1" applyProtection="0">
      <alignment horizontal="center" vertical="center"/>
    </xf>
    <xf numFmtId="10" fontId="0" borderId="4" applyNumberFormat="1" applyFont="1" applyFill="0" applyBorder="1" applyAlignment="1" applyProtection="0">
      <alignment vertical="bottom"/>
    </xf>
    <xf numFmtId="10" fontId="0" borderId="6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horizontal="right" vertical="bottom"/>
    </xf>
    <xf numFmtId="0" fontId="0" fillId="11" borderId="10" applyNumberFormat="0" applyFont="1" applyFill="1" applyBorder="1" applyAlignment="1" applyProtection="0">
      <alignment horizontal="center" vertical="center"/>
    </xf>
    <xf numFmtId="10" fontId="0" borderId="10" applyNumberFormat="1" applyFont="1" applyFill="0" applyBorder="1" applyAlignment="1" applyProtection="0">
      <alignment vertical="bottom"/>
    </xf>
    <xf numFmtId="10" fontId="0" borderId="1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" fontId="0" borderId="2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49" fontId="0" fillId="13" borderId="3" applyNumberFormat="1" applyFont="1" applyFill="1" applyBorder="1" applyAlignment="1" applyProtection="0">
      <alignment vertical="bottom"/>
    </xf>
    <xf numFmtId="11" fontId="0" fillId="13" borderId="4" applyNumberFormat="1" applyFont="1" applyFill="1" applyBorder="1" applyAlignment="1" applyProtection="0">
      <alignment vertical="bottom"/>
    </xf>
    <xf numFmtId="4" fontId="0" fillId="13" borderId="4" applyNumberFormat="1" applyFont="1" applyFill="1" applyBorder="1" applyAlignment="1" applyProtection="0">
      <alignment vertical="bottom"/>
    </xf>
    <xf numFmtId="0" fontId="0" fillId="13" borderId="4" applyNumberFormat="0" applyFont="1" applyFill="1" applyBorder="1" applyAlignment="1" applyProtection="0">
      <alignment vertical="bottom"/>
    </xf>
    <xf numFmtId="0" fontId="0" fillId="13" borderId="6" applyNumberFormat="0" applyFont="1" applyFill="1" applyBorder="1" applyAlignment="1" applyProtection="0">
      <alignment vertical="bottom"/>
    </xf>
    <xf numFmtId="0" fontId="0" fillId="13" borderId="4" applyNumberFormat="1" applyFont="1" applyFill="1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9" fontId="0" borderId="2" applyNumberFormat="1" applyFont="1" applyFill="0" applyBorder="1" applyAlignment="1" applyProtection="0">
      <alignment vertical="bottom"/>
    </xf>
    <xf numFmtId="49" fontId="0" fillId="14" borderId="1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0" fontId="0" borderId="2" applyNumberFormat="1" applyFont="1" applyFill="0" applyBorder="1" applyAlignment="1" applyProtection="0">
      <alignment horizontal="right" vertical="bottom"/>
    </xf>
    <xf numFmtId="10" fontId="0" fillId="14" borderId="4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49" fontId="5" borderId="2" applyNumberFormat="1" applyFont="1" applyFill="0" applyBorder="1" applyAlignment="1" applyProtection="0">
      <alignment vertical="bottom"/>
    </xf>
    <xf numFmtId="60" fontId="0" borderId="2" applyNumberFormat="1" applyFont="1" applyFill="0" applyBorder="1" applyAlignment="1" applyProtection="0">
      <alignment horizontal="right" vertical="bottom"/>
    </xf>
    <xf numFmtId="0" fontId="5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5a6bd"/>
      <rgbColor rgb="fff4cccc"/>
      <rgbColor rgb="ffe06666"/>
      <rgbColor rgb="ffffff00"/>
      <rgbColor rgb="ffff9900"/>
      <rgbColor rgb="ff00ff00"/>
      <rgbColor rgb="ffff00ff"/>
      <rgbColor rgb="ff00ffff"/>
      <rgbColor rgb="ffff0000"/>
      <rgbColor rgb="ffffffff"/>
      <rgbColor rgb="ffea9999"/>
      <rgbColor rgb="ffd0e0e3"/>
      <rgbColor rgb="ff3266d5"/>
      <rgbColor rgb="ffb6d7a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K52"/>
  <sheetViews>
    <sheetView workbookViewId="0" showGridLines="0" defaultGridColor="1"/>
  </sheetViews>
  <sheetFormatPr defaultColWidth="12.6667" defaultRowHeight="15.75" customHeight="1" outlineLevelRow="0" outlineLevelCol="0"/>
  <cols>
    <col min="1" max="1" width="34.8516" style="1" customWidth="1"/>
    <col min="2" max="7" width="20.6719" style="1" customWidth="1"/>
    <col min="8" max="8" width="28.8516" style="1" customWidth="1"/>
    <col min="9" max="18" width="20.6719" style="1" customWidth="1"/>
    <col min="19" max="19" width="28.5" style="1" customWidth="1"/>
    <col min="20" max="24" width="20.6719" style="1" customWidth="1"/>
    <col min="25" max="26" width="26.5" style="1" customWidth="1"/>
    <col min="27" max="27" width="20.6719" style="1" customWidth="1"/>
    <col min="28" max="28" width="26.5" style="1" customWidth="1"/>
    <col min="29" max="31" width="20.6719" style="1" customWidth="1"/>
    <col min="32" max="32" width="25.8516" style="1" customWidth="1"/>
    <col min="33" max="33" width="24.6719" style="1" customWidth="1"/>
    <col min="34" max="34" width="28" style="1" customWidth="1"/>
    <col min="35" max="35" width="27.3516" style="1" customWidth="1"/>
    <col min="36" max="37" width="20.6719" style="1" customWidth="1"/>
    <col min="3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s="4"/>
      <c r="AK1" s="4"/>
    </row>
    <row r="2" ht="13.65" customHeight="1">
      <c r="A2" t="s" s="5">
        <v>35</v>
      </c>
      <c r="B2" s="6">
        <v>13</v>
      </c>
      <c r="C2" s="7">
        <v>6.20102e-05</v>
      </c>
      <c r="D2" s="6">
        <v>0.000143650561111111</v>
      </c>
      <c r="E2" s="6">
        <v>0.000323095866588982</v>
      </c>
      <c r="F2" s="6" cm="1">
        <f t="array" ref="F2">(D2-0.01*E2)</f>
        <v>0.000140419602445221</v>
      </c>
      <c r="G2" s="6" cm="1">
        <f t="array" ref="G2">(D2+0.15*E2)</f>
        <v>0.000192114941099458</v>
      </c>
      <c r="H2" s="8" cm="1">
        <f t="array" ref="H2">(D2+0.0287*E2)</f>
        <v>0.000152923412482215</v>
      </c>
      <c r="I2" s="6">
        <v>11</v>
      </c>
      <c r="J2" s="6">
        <v>10.3333333333333</v>
      </c>
      <c r="K2" s="6">
        <v>6.32455532033675</v>
      </c>
      <c r="L2" s="6" cm="1">
        <f t="array" ref="L2">ROUND(J2-K2,0)</f>
        <v>4</v>
      </c>
      <c r="M2" s="6" cm="1">
        <f t="array" ref="M2">ROUND(J2+K2,0)</f>
        <v>17</v>
      </c>
      <c r="N2" s="6">
        <v>0.000208433</v>
      </c>
      <c r="O2" s="6">
        <v>0.000909775503888888</v>
      </c>
      <c r="P2" s="6">
        <v>0.00443570681958921</v>
      </c>
      <c r="Q2" s="7" cm="1">
        <f t="array" ref="Q2">(O2-0.05*P2)</f>
        <v>0.000687990162909428</v>
      </c>
      <c r="R2" s="7" cm="1">
        <f t="array" ref="R2">(O2+0.25*P2)</f>
        <v>0.00201870220878619</v>
      </c>
      <c r="S2" s="7" cm="1">
        <f t="array" ref="S2">(O2+0.169*P2)</f>
        <v>0.00165940995639946</v>
      </c>
      <c r="T2" s="6">
        <v>0.110980193</v>
      </c>
      <c r="U2" s="6">
        <v>0.105799061666666</v>
      </c>
      <c r="V2" s="6">
        <v>0.042887138690695</v>
      </c>
      <c r="W2" s="7" cm="1">
        <f t="array" ref="W2">(U2-0.15*V2)</f>
        <v>0.0993659908630618</v>
      </c>
      <c r="X2" s="7" cm="1">
        <f t="array" ref="X2">(U2+V2)</f>
        <v>0.148686200357361</v>
      </c>
      <c r="Y2" s="7" cm="1">
        <f t="array" ref="Y2">(U2-3*V2)</f>
        <v>-0.022862354405419</v>
      </c>
      <c r="Z2" s="7" cm="1">
        <f t="array" ref="Z2">(U2+5.5*V2)</f>
        <v>0.341678324465489</v>
      </c>
      <c r="AA2" s="6">
        <v>0.266332341</v>
      </c>
      <c r="AB2" s="6">
        <v>0.172520626611111</v>
      </c>
      <c r="AC2" s="6">
        <v>0.162211902651714</v>
      </c>
      <c r="AD2" s="7" cm="1">
        <f t="array" ref="AD2">(AB2-0.15*AC2)</f>
        <v>0.148188841213354</v>
      </c>
      <c r="AE2" s="7" cm="1">
        <f t="array" ref="AE2">(AB2+AC2)</f>
        <v>0.334732529262825</v>
      </c>
      <c r="AF2" s="7" cm="1">
        <f t="array" ref="AF2">(AB2-3*AC2)</f>
        <v>-0.314115081344031</v>
      </c>
      <c r="AG2" s="7" cm="1">
        <f t="array" ref="AG2">(AB2)</f>
        <v>0.172520626611111</v>
      </c>
      <c r="AH2" s="7" cm="1">
        <f t="array" ref="AH2">(AB2-2.15*AC2)</f>
        <v>-0.176234964090074</v>
      </c>
      <c r="AI2" s="7" cm="1">
        <f t="array" ref="AI2">(AB2+1.75*AC2)</f>
        <v>0.456391456251611</v>
      </c>
      <c r="AJ2" s="9"/>
      <c r="AK2" s="10"/>
    </row>
    <row r="3" ht="13.65" customHeight="1">
      <c r="A3" t="s" s="5">
        <v>35</v>
      </c>
      <c r="B3" s="6">
        <v>14</v>
      </c>
      <c r="C3" s="7">
        <v>5.58361e-05</v>
      </c>
      <c r="D3" s="6">
        <v>0.000143650561111111</v>
      </c>
      <c r="E3" s="6">
        <v>0.000323095866588982</v>
      </c>
      <c r="F3" s="6" cm="1">
        <f t="array" ref="F3">(D3-0.01*E3)</f>
        <v>0.000140419602445221</v>
      </c>
      <c r="G3" s="6" cm="1">
        <f t="array" ref="G3">(D3+0.15*E3)</f>
        <v>0.000192114941099458</v>
      </c>
      <c r="H3" s="8" cm="1">
        <f t="array" ref="H3">(D3+0.0287*E3)</f>
        <v>0.000152923412482215</v>
      </c>
      <c r="I3" s="6">
        <v>15</v>
      </c>
      <c r="J3" s="6">
        <v>10.3333333333333</v>
      </c>
      <c r="K3" s="6">
        <v>6.32455532033675</v>
      </c>
      <c r="L3" s="6" cm="1">
        <f t="array" ref="L3">ROUND(J3-K3,0)</f>
        <v>4</v>
      </c>
      <c r="M3" s="6" cm="1">
        <f t="array" ref="M3">ROUND(J3+K3,0)</f>
        <v>17</v>
      </c>
      <c r="N3" s="6">
        <v>0.000377048</v>
      </c>
      <c r="O3" s="6">
        <v>0.000909775503888888</v>
      </c>
      <c r="P3" s="6">
        <v>0.00443570681958921</v>
      </c>
      <c r="Q3" s="7" cm="1">
        <f t="array" ref="Q3">(O3-0.05*P3)</f>
        <v>0.000687990162909428</v>
      </c>
      <c r="R3" s="7" cm="1">
        <f t="array" ref="R3">(O3+0.25*P3)</f>
        <v>0.00201870220878619</v>
      </c>
      <c r="S3" s="7" cm="1">
        <f t="array" ref="S3">(O3+0.169*P3)</f>
        <v>0.00165940995639946</v>
      </c>
      <c r="T3" s="6">
        <v>0.115728786</v>
      </c>
      <c r="U3" s="6">
        <v>0.105799061666666</v>
      </c>
      <c r="V3" s="6">
        <v>0.042887138690695</v>
      </c>
      <c r="W3" s="7" cm="1">
        <f t="array" ref="W3">(U3-0.15*V3)</f>
        <v>0.0993659908630618</v>
      </c>
      <c r="X3" s="7" cm="1">
        <f t="array" ref="X3">(U3+V3)</f>
        <v>0.148686200357361</v>
      </c>
      <c r="Y3" s="7" cm="1">
        <f t="array" ref="Y3">(U3-3*V3)</f>
        <v>-0.022862354405419</v>
      </c>
      <c r="Z3" s="7" cm="1">
        <f t="array" ref="Z3">(U3+5.5*V3)</f>
        <v>0.341678324465489</v>
      </c>
      <c r="AA3" s="6">
        <v>0.283742916</v>
      </c>
      <c r="AB3" s="6">
        <v>0.172520626611111</v>
      </c>
      <c r="AC3" s="6">
        <v>0.162211902651714</v>
      </c>
      <c r="AD3" s="7" cm="1">
        <f t="array" ref="AD3">(AB3-0.15*AC3)</f>
        <v>0.148188841213354</v>
      </c>
      <c r="AE3" s="7" cm="1">
        <f t="array" ref="AE3">(AB3+AC3)</f>
        <v>0.334732529262825</v>
      </c>
      <c r="AF3" s="7" cm="1">
        <f t="array" ref="AF3">(AB3-3*AC3)</f>
        <v>-0.314115081344031</v>
      </c>
      <c r="AG3" s="7" cm="1">
        <f t="array" ref="AG3">(AB3)</f>
        <v>0.172520626611111</v>
      </c>
      <c r="AH3" s="7" cm="1">
        <f t="array" ref="AH3">(AB3-2.15*AC3)</f>
        <v>-0.176234964090074</v>
      </c>
      <c r="AI3" s="7" cm="1">
        <f t="array" ref="AI3">(AB3+1.75*AC3)</f>
        <v>0.456391456251611</v>
      </c>
      <c r="AJ3" s="9"/>
      <c r="AK3" s="10"/>
    </row>
    <row r="4" ht="13.65" customHeight="1">
      <c r="A4" t="s" s="5">
        <v>35</v>
      </c>
      <c r="B4" s="6">
        <v>15</v>
      </c>
      <c r="C4" s="7">
        <v>5.35988e-05</v>
      </c>
      <c r="D4" s="6">
        <v>0.000143650561111111</v>
      </c>
      <c r="E4" s="6">
        <v>0.000323095866588982</v>
      </c>
      <c r="F4" s="6" cm="1">
        <f t="array" ref="F4">(D4-0.01*E4)</f>
        <v>0.000140419602445221</v>
      </c>
      <c r="G4" s="6" cm="1">
        <f t="array" ref="G4">(D4+0.15*E4)</f>
        <v>0.000192114941099458</v>
      </c>
      <c r="H4" s="11" cm="1">
        <f t="array" ref="H4">(D4+0.0287*E4)</f>
        <v>0.000152923412482215</v>
      </c>
      <c r="I4" s="6">
        <v>14</v>
      </c>
      <c r="J4" s="6">
        <v>10.3333333333333</v>
      </c>
      <c r="K4" s="6">
        <v>6.32455532033675</v>
      </c>
      <c r="L4" s="6" cm="1">
        <f t="array" ref="L4">ROUND(J4-K4,0)</f>
        <v>4</v>
      </c>
      <c r="M4" s="6" cm="1">
        <f t="array" ref="M4">ROUND(J4+K4,0)</f>
        <v>17</v>
      </c>
      <c r="N4" s="6">
        <v>0.000608795</v>
      </c>
      <c r="O4" s="6">
        <v>0.000909775503888888</v>
      </c>
      <c r="P4" s="6">
        <v>0.00443570681958921</v>
      </c>
      <c r="Q4" s="7" cm="1">
        <f t="array" ref="Q4">(O4-0.05*P4)</f>
        <v>0.000687990162909428</v>
      </c>
      <c r="R4" s="7" cm="1">
        <f t="array" ref="R4">(O4+0.25*P4)</f>
        <v>0.00201870220878619</v>
      </c>
      <c r="S4" s="7" cm="1">
        <f t="array" ref="S4">(O4+0.169*P4)</f>
        <v>0.00165940995639946</v>
      </c>
      <c r="T4" s="6">
        <v>0.118103967</v>
      </c>
      <c r="U4" s="6">
        <v>0.105799061666666</v>
      </c>
      <c r="V4" s="6">
        <v>0.042887138690695</v>
      </c>
      <c r="W4" s="7" cm="1">
        <f t="array" ref="W4">(U4-0.15*V4)</f>
        <v>0.0993659908630618</v>
      </c>
      <c r="X4" s="7" cm="1">
        <f t="array" ref="X4">(U4+V4)</f>
        <v>0.148686200357361</v>
      </c>
      <c r="Y4" s="7" cm="1">
        <f t="array" ref="Y4">(U4-3*V4)</f>
        <v>-0.022862354405419</v>
      </c>
      <c r="Z4" s="7" cm="1">
        <f t="array" ref="Z4">(U4+5.5*V4)</f>
        <v>0.341678324465489</v>
      </c>
      <c r="AA4" s="6">
        <v>0.279687103</v>
      </c>
      <c r="AB4" s="6">
        <v>0.172520626611111</v>
      </c>
      <c r="AC4" s="6">
        <v>0.162211902651714</v>
      </c>
      <c r="AD4" s="7" cm="1">
        <f t="array" ref="AD4">(AB4-0.15*AC4)</f>
        <v>0.148188841213354</v>
      </c>
      <c r="AE4" s="7" cm="1">
        <f t="array" ref="AE4">(AB4+AC4)</f>
        <v>0.334732529262825</v>
      </c>
      <c r="AF4" s="7" cm="1">
        <f t="array" ref="AF4">(AB4-3*AC4)</f>
        <v>-0.314115081344031</v>
      </c>
      <c r="AG4" s="7" cm="1">
        <f t="array" ref="AG4">(AB4)</f>
        <v>0.172520626611111</v>
      </c>
      <c r="AH4" s="7" cm="1">
        <f t="array" ref="AH4">(AB4-2.15*AC4)</f>
        <v>-0.176234964090074</v>
      </c>
      <c r="AI4" s="7" cm="1">
        <f t="array" ref="AI4">(AB4+1.75*AC4)</f>
        <v>0.456391456251611</v>
      </c>
      <c r="AJ4" s="9"/>
      <c r="AK4" s="10"/>
    </row>
    <row r="5" ht="13.65" customHeight="1">
      <c r="A5" t="s" s="12">
        <v>36</v>
      </c>
      <c r="B5" s="13">
        <v>7</v>
      </c>
      <c r="C5" s="13">
        <v>0.00010462</v>
      </c>
      <c r="D5" s="14">
        <v>5.71483666666666e-05</v>
      </c>
      <c r="E5" s="15">
        <v>3.00000011111314</v>
      </c>
      <c r="F5" s="16" cm="1">
        <f t="array" ref="F5">(D5-0.01*E5)</f>
        <v>-0.0299428527444647</v>
      </c>
      <c r="G5" s="17" cm="1">
        <f t="array" ref="G5">(D5+0.15*E5)</f>
        <v>0.450057165033638</v>
      </c>
      <c r="H5" s="16" cm="1">
        <f t="array" ref="H5">(D5+0.0287*E5)</f>
        <v>0.08615715155561381</v>
      </c>
      <c r="I5" s="18">
        <v>12</v>
      </c>
      <c r="J5" s="13">
        <v>13.3333333333333</v>
      </c>
      <c r="K5" s="19">
        <v>3.44802662832386</v>
      </c>
      <c r="L5" s="20" cm="1">
        <f t="array" ref="L5">ROUND(J5-K5,0)</f>
        <v>10</v>
      </c>
      <c r="M5" s="20" cm="1">
        <f t="array" ref="M5">ROUND(J5+K5,0)</f>
        <v>17</v>
      </c>
      <c r="N5" s="21">
        <v>3.54159e-05</v>
      </c>
      <c r="O5" s="19">
        <v>0.000398092</v>
      </c>
      <c r="P5" s="15">
        <v>3.00000011560042</v>
      </c>
      <c r="Q5" s="16" cm="1">
        <f t="array" ref="Q5">(O5-0.05*P5)</f>
        <v>-0.149601913780021</v>
      </c>
      <c r="R5" s="17" cm="1">
        <f t="array" ref="R5">(O5+0.25*P5)</f>
        <v>0.750398120900105</v>
      </c>
      <c r="S5" s="16" cm="1">
        <f t="array" ref="S5">(O5+0.169*P5)</f>
        <v>0.507398111536471</v>
      </c>
      <c r="T5" s="18">
        <v>0.112741983</v>
      </c>
      <c r="U5" s="19">
        <v>0.114937648666666</v>
      </c>
      <c r="V5" s="15">
        <v>3.00000157293884</v>
      </c>
      <c r="W5" s="22" cm="1">
        <f t="array" ref="W5">(U5-0.15*V5)</f>
        <v>-0.33506258727416</v>
      </c>
      <c r="X5" s="17" cm="1">
        <f t="array" ref="X5">(U5+V5)</f>
        <v>3.11493922160551</v>
      </c>
      <c r="Y5" s="16" cm="1">
        <f t="array" ref="Y5">(U5-3*V5)</f>
        <v>-8.88506707014985</v>
      </c>
      <c r="Z5" s="16" cm="1">
        <f t="array" ref="Z5">(U5+5.5*V5)</f>
        <v>16.6149462998303</v>
      </c>
      <c r="AA5" s="18">
        <v>0.24641515</v>
      </c>
      <c r="AB5" s="19">
        <v>0.276587453333333</v>
      </c>
      <c r="AC5" s="15">
        <v>3.00000933196832</v>
      </c>
      <c r="AD5" s="16" cm="1">
        <f t="array" ref="AD5">(AB5-0.15*AC5)</f>
        <v>-0.173413946461915</v>
      </c>
      <c r="AE5" s="17" cm="1">
        <f t="array" ref="AE5">(AB5+AC5)</f>
        <v>3.27659678530165</v>
      </c>
      <c r="AF5" s="16" cm="1">
        <f t="array" ref="AF5">(AB5-3*AC5)</f>
        <v>-8.72344054257163</v>
      </c>
      <c r="AG5" s="17" cm="1">
        <f t="array" ref="AG5">(AB5)</f>
        <v>0.276587453333333</v>
      </c>
      <c r="AH5" s="23" cm="1">
        <f t="array" ref="AH5">(AB5-2.15*AC5)</f>
        <v>-6.17343261039856</v>
      </c>
      <c r="AI5" s="16" cm="1">
        <f t="array" ref="AI5">(AB5+1.75*AC5)</f>
        <v>5.52660378427789</v>
      </c>
      <c r="AJ5" s="24"/>
      <c r="AK5" s="25"/>
    </row>
    <row r="6" ht="13.65" customHeight="1">
      <c r="A6" t="s" s="3">
        <v>36</v>
      </c>
      <c r="B6" s="26">
        <v>8</v>
      </c>
      <c r="C6" s="27">
        <v>5.58361e-05</v>
      </c>
      <c r="D6" s="28">
        <v>5.71483666666666e-05</v>
      </c>
      <c r="E6" s="15">
        <v>3.00000011111314</v>
      </c>
      <c r="F6" s="16" cm="1">
        <f t="array" ref="F6">(D6-0.01*E6)</f>
        <v>-0.0299428527444647</v>
      </c>
      <c r="G6" s="29" cm="1">
        <f t="array" ref="G6">(D6+0.15*E6)</f>
        <v>0.450057165033638</v>
      </c>
      <c r="H6" s="16" cm="1">
        <f t="array" ref="H6">(D6+0.0287*E6)</f>
        <v>0.08615715155561381</v>
      </c>
      <c r="I6" s="30">
        <v>15</v>
      </c>
      <c r="J6" s="26">
        <v>13.3333333333333</v>
      </c>
      <c r="K6" s="31">
        <v>3.44802662832386</v>
      </c>
      <c r="L6" s="20" cm="1">
        <f t="array" ref="L6">ROUND(J6-K6,0)</f>
        <v>10</v>
      </c>
      <c r="M6" s="20" cm="1">
        <f t="array" ref="M6">ROUND(J6+K6,0)</f>
        <v>17</v>
      </c>
      <c r="N6" s="30">
        <v>0.000377048</v>
      </c>
      <c r="O6" s="31">
        <v>0.000398092</v>
      </c>
      <c r="P6" s="15">
        <v>3.00000011560042</v>
      </c>
      <c r="Q6" s="16" cm="1">
        <f t="array" ref="Q6">(O6-0.05*P6)</f>
        <v>-0.149601913780021</v>
      </c>
      <c r="R6" s="29" cm="1">
        <f t="array" ref="R6">(O6+0.25*P6)</f>
        <v>0.750398120900105</v>
      </c>
      <c r="S6" s="16" cm="1">
        <f t="array" ref="S6">(O6+0.169*P6)</f>
        <v>0.507398111536471</v>
      </c>
      <c r="T6" s="30">
        <v>0.115728786</v>
      </c>
      <c r="U6" s="31">
        <v>0.114937648666666</v>
      </c>
      <c r="V6" s="15">
        <v>3.00000157293884</v>
      </c>
      <c r="W6" s="22" cm="1">
        <f t="array" ref="W6">(U6-0.15*V6)</f>
        <v>-0.33506258727416</v>
      </c>
      <c r="X6" s="29" cm="1">
        <f t="array" ref="X6">(U6+V6)</f>
        <v>3.11493922160551</v>
      </c>
      <c r="Y6" s="16" cm="1">
        <f t="array" ref="Y6">(U6-3*V6)</f>
        <v>-8.88506707014985</v>
      </c>
      <c r="Z6" s="16" cm="1">
        <f t="array" ref="Z6">(U6+5.5*V6)</f>
        <v>16.6149462998303</v>
      </c>
      <c r="AA6" s="30">
        <v>0.283742916</v>
      </c>
      <c r="AB6" s="31">
        <v>0.276587453333333</v>
      </c>
      <c r="AC6" s="15">
        <v>3.00000933196832</v>
      </c>
      <c r="AD6" s="16" cm="1">
        <f t="array" ref="AD6">(AB6-0.15*AC6)</f>
        <v>-0.173413946461915</v>
      </c>
      <c r="AE6" s="29" cm="1">
        <f t="array" ref="AE6">(AB6+AC6)</f>
        <v>3.27659678530165</v>
      </c>
      <c r="AF6" s="16" cm="1">
        <f t="array" ref="AF6">(AB6-3*AC6)</f>
        <v>-8.72344054257163</v>
      </c>
      <c r="AG6" s="29" cm="1">
        <f t="array" ref="AG6">(AB6)</f>
        <v>0.276587453333333</v>
      </c>
      <c r="AH6" s="23" cm="1">
        <f t="array" ref="AH6">(AB6-2.15*AC6)</f>
        <v>-6.17343261039856</v>
      </c>
      <c r="AI6" s="16" cm="1">
        <f t="array" ref="AI6">(AB6+1.75*AC6)</f>
        <v>5.52660378427789</v>
      </c>
      <c r="AJ6" s="32"/>
      <c r="AK6" s="33"/>
    </row>
    <row r="7" ht="13.65" customHeight="1">
      <c r="A7" t="s" s="2">
        <v>36</v>
      </c>
      <c r="B7" s="34">
        <v>9</v>
      </c>
      <c r="C7" s="4">
        <v>9.00849e-05</v>
      </c>
      <c r="D7" s="35">
        <v>5.71483666666666e-05</v>
      </c>
      <c r="E7" s="15">
        <v>3.00000011111314</v>
      </c>
      <c r="F7" s="16" cm="1">
        <f t="array" ref="F7">(D7-0.01*E7)</f>
        <v>-0.0299428527444647</v>
      </c>
      <c r="G7" s="36" cm="1">
        <f t="array" ref="G7">(D7+0.15*E7)</f>
        <v>0.450057165033638</v>
      </c>
      <c r="H7" s="16" cm="1">
        <f t="array" ref="H7">(D7+0.0287*E7)</f>
        <v>0.08615715155561381</v>
      </c>
      <c r="I7" s="37">
        <v>8</v>
      </c>
      <c r="J7" s="34">
        <v>13.3333333333333</v>
      </c>
      <c r="K7" s="38">
        <v>3.44802662832386</v>
      </c>
      <c r="L7" s="20" cm="1">
        <f t="array" ref="L7">ROUND(J7-K7,0)</f>
        <v>10</v>
      </c>
      <c r="M7" s="20" cm="1">
        <f t="array" ref="M7">ROUND(J7+K7,0)</f>
        <v>17</v>
      </c>
      <c r="N7" s="37">
        <v>0.00012561</v>
      </c>
      <c r="O7" s="38">
        <v>0.000398092</v>
      </c>
      <c r="P7" s="15">
        <v>3.00000011560042</v>
      </c>
      <c r="Q7" s="16" cm="1">
        <f t="array" ref="Q7">(O7-0.05*P7)</f>
        <v>-0.149601913780021</v>
      </c>
      <c r="R7" s="36" cm="1">
        <f t="array" ref="R7">(O7+0.25*P7)</f>
        <v>0.750398120900105</v>
      </c>
      <c r="S7" s="16" cm="1">
        <f t="array" ref="S7">(O7+0.169*P7)</f>
        <v>0.507398111536471</v>
      </c>
      <c r="T7" s="37">
        <v>0.111185289</v>
      </c>
      <c r="U7" s="38">
        <v>0.114937648666666</v>
      </c>
      <c r="V7" s="15">
        <v>3.00000157293884</v>
      </c>
      <c r="W7" s="22" cm="1">
        <f t="array" ref="W7">(U7-0.15*V7)</f>
        <v>-0.33506258727416</v>
      </c>
      <c r="X7" s="36" cm="1">
        <f t="array" ref="X7">(U7+V7)</f>
        <v>3.11493922160551</v>
      </c>
      <c r="Y7" s="16" cm="1">
        <f t="array" ref="Y7">(U7-3*V7)</f>
        <v>-8.88506707014985</v>
      </c>
      <c r="Z7" s="16" cm="1">
        <f t="array" ref="Z7">(U7+5.5*V7)</f>
        <v>16.6149462998303</v>
      </c>
      <c r="AA7" s="37">
        <v>0.129583506</v>
      </c>
      <c r="AB7" s="38">
        <v>0.276587453333333</v>
      </c>
      <c r="AC7" s="15">
        <v>3.00000933196832</v>
      </c>
      <c r="AD7" s="16" cm="1">
        <f t="array" ref="AD7">(AB7-0.15*AC7)</f>
        <v>-0.173413946461915</v>
      </c>
      <c r="AE7" s="36" cm="1">
        <f t="array" ref="AE7">(AB7+AC7)</f>
        <v>3.27659678530165</v>
      </c>
      <c r="AF7" s="16" cm="1">
        <f t="array" ref="AF7">(AB7-3*AC7)</f>
        <v>-8.72344054257163</v>
      </c>
      <c r="AG7" s="36" cm="1">
        <f t="array" ref="AG7">(AB7)</f>
        <v>0.276587453333333</v>
      </c>
      <c r="AH7" s="23" cm="1">
        <f t="array" ref="AH7">(AB7-2.15*AC7)</f>
        <v>-6.17343261039856</v>
      </c>
      <c r="AI7" s="16" cm="1">
        <f t="array" ref="AI7">(AB7+1.75*AC7)</f>
        <v>5.52660378427789</v>
      </c>
      <c r="AJ7" s="39"/>
      <c r="AK7" s="40"/>
    </row>
    <row r="8" ht="13.65" customHeight="1">
      <c r="A8" t="s" s="41">
        <v>37</v>
      </c>
      <c r="B8" s="20">
        <v>10</v>
      </c>
      <c r="C8" s="23">
        <v>9.00849e-05</v>
      </c>
      <c r="D8" s="23">
        <v>6.81897931850443e-05</v>
      </c>
      <c r="E8" s="20">
        <v>0.00393451767490181</v>
      </c>
      <c r="F8" s="42" cm="1">
        <f t="array" ref="F8">(D8-0.01*E8)</f>
        <v>2.88446164360262e-05</v>
      </c>
      <c r="G8" s="23" cm="1">
        <f t="array" ref="G8">(D8+0.15*E8)</f>
        <v>0.000658367444420316</v>
      </c>
      <c r="H8" s="42" cm="1">
        <f t="array" ref="H8">(D8+0.0287*E8)</f>
        <v>0.000181110450454726</v>
      </c>
      <c r="I8" s="20">
        <v>8</v>
      </c>
      <c r="J8" s="20">
        <v>12.5093624360828</v>
      </c>
      <c r="K8" s="20">
        <v>2.4961993463854</v>
      </c>
      <c r="L8" s="43" cm="1">
        <f t="array" ref="L8">ROUND(J8-K8,0)</f>
        <v>10</v>
      </c>
      <c r="M8" s="43" cm="1">
        <f t="array" ref="M8">ROUND(J8+K8,0)</f>
        <v>15</v>
      </c>
      <c r="N8" s="20">
        <v>0.00012561</v>
      </c>
      <c r="O8" s="20">
        <v>0.000306489140964644</v>
      </c>
      <c r="P8" s="20">
        <v>0.00393815767371102</v>
      </c>
      <c r="Q8" s="42" cm="1">
        <f t="array" ref="Q8">(O8-0.05*P8)</f>
        <v>0.000109581257279093</v>
      </c>
      <c r="R8" s="23" cm="1">
        <f t="array" ref="R8">(O8+0.25*P8)</f>
        <v>0.0012910285593924</v>
      </c>
      <c r="S8" s="42" cm="1">
        <f t="array" ref="S8">(O8+0.169*P8)</f>
        <v>0.000972037787821806</v>
      </c>
      <c r="T8" s="20">
        <v>0.111185289</v>
      </c>
      <c r="U8" s="20">
        <v>0.114217685288334</v>
      </c>
      <c r="V8" s="20">
        <v>0.00478674169197457</v>
      </c>
      <c r="W8" s="23" cm="1">
        <f t="array" ref="W8">(U8-0.15*V8)</f>
        <v>0.113499674034538</v>
      </c>
      <c r="X8" s="23" cm="1">
        <f t="array" ref="X8">(U8+V8)</f>
        <v>0.119004426980309</v>
      </c>
      <c r="Y8" s="42" cm="1">
        <f t="array" ref="Y8">(U8-3*V8)</f>
        <v>0.09985746021241031</v>
      </c>
      <c r="Z8" s="42" cm="1">
        <f t="array" ref="Z8">(U8+5.5*V8)</f>
        <v>0.140544764594194</v>
      </c>
      <c r="AA8" s="20">
        <v>0.129583506</v>
      </c>
      <c r="AB8" s="20">
        <v>0.252278154756157</v>
      </c>
      <c r="AC8" s="20">
        <v>0.0510052818066966</v>
      </c>
      <c r="AD8" s="23" cm="1">
        <f t="array" ref="AD8">(AB8-0.15*AC8)</f>
        <v>0.244627362485153</v>
      </c>
      <c r="AE8" s="23" cm="1">
        <f t="array" ref="AE8">(AB8+AC8)</f>
        <v>0.303283436562854</v>
      </c>
      <c r="AF8" s="42" cm="1">
        <f t="array" ref="AF8">(AB8-3*AC8)</f>
        <v>0.09926230933606719</v>
      </c>
      <c r="AG8" s="23" cm="1">
        <f t="array" ref="AG8">(AB8)</f>
        <v>0.252278154756157</v>
      </c>
      <c r="AH8" s="23" cm="1">
        <f t="array" ref="AH8">(AB8-2.15*AC8)</f>
        <v>0.142616798871759</v>
      </c>
      <c r="AI8" s="42" cm="1">
        <f t="array" ref="AI8">(AB8+1.75*AC8)</f>
        <v>0.341537397917876</v>
      </c>
      <c r="AJ8" s="44"/>
      <c r="AK8" s="45"/>
    </row>
    <row r="9" ht="13.65" customHeight="1">
      <c r="A9" t="s" s="46">
        <v>37</v>
      </c>
      <c r="B9" s="20">
        <v>11</v>
      </c>
      <c r="C9" s="23">
        <v>5.36704e-05</v>
      </c>
      <c r="D9" s="23">
        <v>6.81897931850443e-05</v>
      </c>
      <c r="E9" s="20">
        <v>0.00393451767490181</v>
      </c>
      <c r="F9" s="23" cm="1">
        <f t="array" ref="F9">(D9-0.01*E9)</f>
        <v>2.88446164360262e-05</v>
      </c>
      <c r="G9" s="23" cm="1">
        <f t="array" ref="G9">(D9+0.15*E9)</f>
        <v>0.000658367444420316</v>
      </c>
      <c r="H9" s="17" cm="1">
        <f t="array" ref="H9">(D9+0.0287*E9)</f>
        <v>0.000181110450454726</v>
      </c>
      <c r="I9" s="20">
        <v>15</v>
      </c>
      <c r="J9" s="20">
        <v>12.5093624360828</v>
      </c>
      <c r="K9" s="20">
        <v>2.4961993463854</v>
      </c>
      <c r="L9" s="20" cm="1">
        <f t="array" ref="L9">ROUND(J9-K9,0)</f>
        <v>10</v>
      </c>
      <c r="M9" s="20" cm="1">
        <f t="array" ref="M9">ROUND(J9+K9,0)</f>
        <v>15</v>
      </c>
      <c r="N9" s="23">
        <v>6.24696e-05</v>
      </c>
      <c r="O9" s="20">
        <v>0.000306489140964644</v>
      </c>
      <c r="P9" s="20">
        <v>0.00393815767371102</v>
      </c>
      <c r="Q9" s="23" cm="1">
        <f t="array" ref="Q9">(O9-0.05*P9)</f>
        <v>0.000109581257279093</v>
      </c>
      <c r="R9" s="23" cm="1">
        <f t="array" ref="R9">(O9+0.25*P9)</f>
        <v>0.0012910285593924</v>
      </c>
      <c r="S9" s="23" cm="1">
        <f t="array" ref="S9">(O9+0.169*P9)</f>
        <v>0.000972037787821806</v>
      </c>
      <c r="T9" s="20">
        <v>0.123014496</v>
      </c>
      <c r="U9" s="20">
        <v>0.114217685288334</v>
      </c>
      <c r="V9" s="20">
        <v>0.00478674169197457</v>
      </c>
      <c r="W9" s="23" cm="1">
        <f t="array" ref="W9">(U9-0.15*V9)</f>
        <v>0.113499674034538</v>
      </c>
      <c r="X9" s="23" cm="1">
        <f t="array" ref="X9">(U9+V9)</f>
        <v>0.119004426980309</v>
      </c>
      <c r="Y9" s="23" cm="1">
        <f t="array" ref="Y9">(U9-3*V9)</f>
        <v>0.09985746021241031</v>
      </c>
      <c r="Z9" s="23" cm="1">
        <f t="array" ref="Z9">(U9+5.5*V9)</f>
        <v>0.140544764594194</v>
      </c>
      <c r="AA9" s="20">
        <v>0.205651382</v>
      </c>
      <c r="AB9" s="20">
        <v>0.252278154756157</v>
      </c>
      <c r="AC9" s="20">
        <v>0.0510052818066966</v>
      </c>
      <c r="AD9" s="23" cm="1">
        <f t="array" ref="AD9">(AB9-0.15*AC9)</f>
        <v>0.244627362485153</v>
      </c>
      <c r="AE9" s="23" cm="1">
        <f t="array" ref="AE9">(AB9+AC9)</f>
        <v>0.303283436562854</v>
      </c>
      <c r="AF9" s="23" cm="1">
        <f t="array" ref="AF9">(AB9-3*AC9)</f>
        <v>0.09926230933606719</v>
      </c>
      <c r="AG9" s="23" cm="1">
        <f t="array" ref="AG9">(AB9)</f>
        <v>0.252278154756157</v>
      </c>
      <c r="AH9" s="23" cm="1">
        <f t="array" ref="AH9">(AB9-2.15*AC9)</f>
        <v>0.142616798871759</v>
      </c>
      <c r="AI9" s="23" cm="1">
        <f t="array" ref="AI9">(AB9+1.75*AC9)</f>
        <v>0.341537397917876</v>
      </c>
      <c r="AJ9" s="44"/>
      <c r="AK9" s="45"/>
    </row>
    <row r="10" ht="13.65" customHeight="1">
      <c r="A10" t="s" s="46">
        <v>37</v>
      </c>
      <c r="B10" s="20">
        <v>12</v>
      </c>
      <c r="C10" s="23">
        <v>8.92599e-05</v>
      </c>
      <c r="D10" s="23">
        <v>6.81897931850443e-05</v>
      </c>
      <c r="E10" s="20">
        <v>0.00393451767490181</v>
      </c>
      <c r="F10" s="23" cm="1">
        <f t="array" ref="F10">(D10-0.01*E10)</f>
        <v>2.88446164360262e-05</v>
      </c>
      <c r="G10" s="23" cm="1">
        <f t="array" ref="G10">(D10+0.15*E10)</f>
        <v>0.000658367444420316</v>
      </c>
      <c r="H10" s="36" cm="1">
        <f t="array" ref="H10">(D10+0.0287*E10)</f>
        <v>0.000181110450454726</v>
      </c>
      <c r="I10" s="20">
        <v>13</v>
      </c>
      <c r="J10" s="20">
        <v>12.5093624360828</v>
      </c>
      <c r="K10" s="20">
        <v>2.4961993463854</v>
      </c>
      <c r="L10" s="20" cm="1">
        <f t="array" ref="L10">ROUND(J10-K10,0)</f>
        <v>10</v>
      </c>
      <c r="M10" s="20" cm="1">
        <f t="array" ref="M10">ROUND(J10+K10,0)</f>
        <v>15</v>
      </c>
      <c r="N10" s="23">
        <v>7.1858e-05</v>
      </c>
      <c r="O10" s="20">
        <v>0.000306489140964644</v>
      </c>
      <c r="P10" s="20">
        <v>0.00393815767371102</v>
      </c>
      <c r="Q10" s="23" cm="1">
        <f t="array" ref="Q10">(O10-0.05*P10)</f>
        <v>0.000109581257279093</v>
      </c>
      <c r="R10" s="23" cm="1">
        <f t="array" ref="R10">(O10+0.25*P10)</f>
        <v>0.0012910285593924</v>
      </c>
      <c r="S10" s="23" cm="1">
        <f t="array" ref="S10">(O10+0.169*P10)</f>
        <v>0.000972037787821806</v>
      </c>
      <c r="T10" s="20">
        <v>0.10994485</v>
      </c>
      <c r="U10" s="20">
        <v>0.114217685288334</v>
      </c>
      <c r="V10" s="20">
        <v>0.00478674169197457</v>
      </c>
      <c r="W10" s="23" cm="1">
        <f t="array" ref="W10">(U10-0.15*V10)</f>
        <v>0.113499674034538</v>
      </c>
      <c r="X10" s="23" cm="1">
        <f t="array" ref="X10">(U10+V10)</f>
        <v>0.119004426980309</v>
      </c>
      <c r="Y10" s="23" cm="1">
        <f t="array" ref="Y10">(U10-3*V10)</f>
        <v>0.09985746021241031</v>
      </c>
      <c r="Z10" s="23" cm="1">
        <f t="array" ref="Z10">(U10+5.5*V10)</f>
        <v>0.140544764594194</v>
      </c>
      <c r="AA10" s="20">
        <v>0.195878925</v>
      </c>
      <c r="AB10" s="20">
        <v>0.252278154756157</v>
      </c>
      <c r="AC10" s="20">
        <v>0.0510052818066966</v>
      </c>
      <c r="AD10" s="23" cm="1">
        <f t="array" ref="AD10">(AB10-0.15*AC10)</f>
        <v>0.244627362485153</v>
      </c>
      <c r="AE10" s="23" cm="1">
        <f t="array" ref="AE10">(AB10+AC10)</f>
        <v>0.303283436562854</v>
      </c>
      <c r="AF10" s="23" cm="1">
        <f t="array" ref="AF10">(AB10-3*AC10)</f>
        <v>0.09926230933606719</v>
      </c>
      <c r="AG10" s="23" cm="1">
        <f t="array" ref="AG10">(AB10)</f>
        <v>0.252278154756157</v>
      </c>
      <c r="AH10" s="23" cm="1">
        <f t="array" ref="AH10">(AB10-2.15*AC10)</f>
        <v>0.142616798871759</v>
      </c>
      <c r="AI10" s="23" cm="1">
        <f t="array" ref="AI10">(AB10+1.75*AC10)</f>
        <v>0.341537397917876</v>
      </c>
      <c r="AJ10" s="44"/>
      <c r="AK10" s="45"/>
    </row>
    <row r="11" ht="13.65" customHeight="1">
      <c r="A11" t="s" s="47">
        <v>38</v>
      </c>
      <c r="B11" s="20">
        <v>4</v>
      </c>
      <c r="C11" s="23">
        <v>9.00849e-05</v>
      </c>
      <c r="D11" s="23">
        <v>7.14068724088743e-05</v>
      </c>
      <c r="E11" s="20">
        <v>0.00447800450795692</v>
      </c>
      <c r="F11" s="48" cm="1">
        <f t="array" ref="F11">(D11-0.01*E11)</f>
        <v>2.66268273293051e-05</v>
      </c>
      <c r="G11" s="23" cm="1">
        <f t="array" ref="G11">(D11+0.15*E11)</f>
        <v>0.000743107548602412</v>
      </c>
      <c r="H11" s="48" cm="1">
        <f t="array" ref="H11">(D11+0.0287*E11)</f>
        <v>0.000199925601787238</v>
      </c>
      <c r="I11" s="20">
        <v>8</v>
      </c>
      <c r="J11" s="20">
        <v>12.3360424387969</v>
      </c>
      <c r="K11" s="20">
        <v>2.66992866918179</v>
      </c>
      <c r="L11" s="49" cm="1">
        <f t="array" ref="L11">ROUND(J11-K11,0)</f>
        <v>10</v>
      </c>
      <c r="M11" s="49" cm="1">
        <f t="array" ref="M11">ROUND(J11+K11,0)</f>
        <v>15</v>
      </c>
      <c r="N11" s="20">
        <v>0.00012561</v>
      </c>
      <c r="O11" s="20">
        <v>0.000239271114485931</v>
      </c>
      <c r="P11" s="20">
        <v>0.00448034802563458</v>
      </c>
      <c r="Q11" s="48" cm="1">
        <f t="array" ref="Q11">(O11-0.05*P11)</f>
        <v>1.5253713204202e-05</v>
      </c>
      <c r="R11" s="23" cm="1">
        <f t="array" ref="R11">(O11+0.25*P11)</f>
        <v>0.00135935812089458</v>
      </c>
      <c r="S11" s="48" cm="1">
        <f t="array" ref="S11">(O11+0.169*P11)</f>
        <v>0.0009964499308181751</v>
      </c>
      <c r="T11" s="20">
        <v>0.111185289</v>
      </c>
      <c r="U11" s="20">
        <v>0.114328081222077</v>
      </c>
      <c r="V11" s="20">
        <v>0.00634874033667674</v>
      </c>
      <c r="W11" s="23" cm="1">
        <f t="array" ref="W11">(U11-0.15*V11)</f>
        <v>0.113375770171575</v>
      </c>
      <c r="X11" s="23" cm="1">
        <f t="array" ref="X11">(U11+V11)</f>
        <v>0.120676821558754</v>
      </c>
      <c r="Y11" s="48" cm="1">
        <f t="array" ref="Y11">(U11-3*V11)</f>
        <v>0.09528186021204681</v>
      </c>
      <c r="Z11" s="48" cm="1">
        <f t="array" ref="Z11">(U11+5.5*V11)</f>
        <v>0.149246153073799</v>
      </c>
      <c r="AA11" s="20">
        <v>0.129583506</v>
      </c>
      <c r="AB11" s="20">
        <v>0.229071480730405</v>
      </c>
      <c r="AC11" s="20">
        <v>0.048780268288278</v>
      </c>
      <c r="AD11" s="23" cm="1">
        <f t="array" ref="AD11">(AB11-0.15*AC11)</f>
        <v>0.221754440487163</v>
      </c>
      <c r="AE11" s="23" cm="1">
        <f t="array" ref="AE11">(AB11+AC11)</f>
        <v>0.277851749018683</v>
      </c>
      <c r="AF11" s="48" cm="1">
        <f t="array" ref="AF11">(AB11-3*AC11)</f>
        <v>0.08273067586557099</v>
      </c>
      <c r="AG11" s="23" cm="1">
        <f t="array" ref="AG11">(AB11)</f>
        <v>0.229071480730405</v>
      </c>
      <c r="AH11" s="23" cm="1">
        <f t="array" ref="AH11">(AB11-2.15*AC11)</f>
        <v>0.124193903910607</v>
      </c>
      <c r="AI11" s="48" cm="1">
        <f t="array" ref="AI11">(AB11+1.75*AC11)</f>
        <v>0.314436950234892</v>
      </c>
      <c r="AJ11" s="44"/>
      <c r="AK11" s="45"/>
    </row>
    <row r="12" ht="13.65" customHeight="1">
      <c r="A12" t="s" s="46">
        <v>38</v>
      </c>
      <c r="B12" s="20">
        <v>5</v>
      </c>
      <c r="C12" s="23">
        <v>5.36185e-05</v>
      </c>
      <c r="D12" s="23">
        <v>7.14068724088743e-05</v>
      </c>
      <c r="E12" s="20">
        <v>0.00447800450795692</v>
      </c>
      <c r="F12" s="23" cm="1">
        <f t="array" ref="F12">(D12-0.01*E12)</f>
        <v>2.66268273293051e-05</v>
      </c>
      <c r="G12" s="23" cm="1">
        <f t="array" ref="G12">(D12+0.15*E12)</f>
        <v>0.000743107548602412</v>
      </c>
      <c r="H12" s="17" cm="1">
        <f t="array" ref="H12">(D12+0.0287*E12)</f>
        <v>0.000199925601787238</v>
      </c>
      <c r="I12" s="20">
        <v>10</v>
      </c>
      <c r="J12" s="20">
        <v>12.3360424387969</v>
      </c>
      <c r="K12" s="20">
        <v>2.66992866918179</v>
      </c>
      <c r="L12" s="20" cm="1">
        <f t="array" ref="L12">ROUND(J12-K12,0)</f>
        <v>10</v>
      </c>
      <c r="M12" s="20" cm="1">
        <f t="array" ref="M12">ROUND(J12+K12,0)</f>
        <v>15</v>
      </c>
      <c r="N12" s="23">
        <v>4.53749e-05</v>
      </c>
      <c r="O12" s="20">
        <v>0.000239271114485931</v>
      </c>
      <c r="P12" s="20">
        <v>0.00448034802563458</v>
      </c>
      <c r="Q12" s="23" cm="1">
        <f t="array" ref="Q12">(O12-0.05*P12)</f>
        <v>1.5253713204202e-05</v>
      </c>
      <c r="R12" s="23" cm="1">
        <f t="array" ref="R12">(O12+0.25*P12)</f>
        <v>0.00135935812089458</v>
      </c>
      <c r="S12" s="23" cm="1">
        <f t="array" ref="S12">(O12+0.169*P12)</f>
        <v>0.0009964499308181751</v>
      </c>
      <c r="T12" s="20">
        <v>0.108039027</v>
      </c>
      <c r="U12" s="20">
        <v>0.114328081222077</v>
      </c>
      <c r="V12" s="20">
        <v>0.00634874033667674</v>
      </c>
      <c r="W12" s="23" cm="1">
        <f t="array" ref="W12">(U12-0.15*V12)</f>
        <v>0.113375770171575</v>
      </c>
      <c r="X12" s="23" cm="1">
        <f t="array" ref="X12">(U12+V12)</f>
        <v>0.120676821558754</v>
      </c>
      <c r="Y12" s="23" cm="1">
        <f t="array" ref="Y12">(U12-3*V12)</f>
        <v>0.09528186021204681</v>
      </c>
      <c r="Z12" s="23" cm="1">
        <f t="array" ref="Z12">(U12+5.5*V12)</f>
        <v>0.149246153073799</v>
      </c>
      <c r="AA12" s="20">
        <v>0.165949729</v>
      </c>
      <c r="AB12" s="20">
        <v>0.229071480730405</v>
      </c>
      <c r="AC12" s="20">
        <v>0.048780268288278</v>
      </c>
      <c r="AD12" s="23" cm="1">
        <f t="array" ref="AD12">(AB12-0.15*AC12)</f>
        <v>0.221754440487163</v>
      </c>
      <c r="AE12" s="23" cm="1">
        <f t="array" ref="AE12">(AB12+AC12)</f>
        <v>0.277851749018683</v>
      </c>
      <c r="AF12" s="23" cm="1">
        <f t="array" ref="AF12">(AB12-3*AC12)</f>
        <v>0.08273067586557099</v>
      </c>
      <c r="AG12" s="23" cm="1">
        <f t="array" ref="AG12">(AB12)</f>
        <v>0.229071480730405</v>
      </c>
      <c r="AH12" s="23" cm="1">
        <f t="array" ref="AH12">(AB12-2.15*AC12)</f>
        <v>0.124193903910607</v>
      </c>
      <c r="AI12" s="23" cm="1">
        <f t="array" ref="AI12">(AB12+1.75*AC12)</f>
        <v>0.314436950234892</v>
      </c>
      <c r="AJ12" s="44"/>
      <c r="AK12" s="45"/>
    </row>
    <row r="13" ht="13.65" customHeight="1">
      <c r="A13" t="s" s="46">
        <v>38</v>
      </c>
      <c r="B13" s="20">
        <v>6</v>
      </c>
      <c r="C13" s="23">
        <v>7.79281e-05</v>
      </c>
      <c r="D13" s="23">
        <v>7.14068724088743e-05</v>
      </c>
      <c r="E13" s="20">
        <v>0.00447800450795692</v>
      </c>
      <c r="F13" s="23" cm="1">
        <f t="array" ref="F13">(D13-0.01*E13)</f>
        <v>2.66268273293051e-05</v>
      </c>
      <c r="G13" s="23" cm="1">
        <f t="array" ref="G13">(D13+0.15*E13)</f>
        <v>0.000743107548602412</v>
      </c>
      <c r="H13" s="36" cm="1">
        <f t="array" ref="H13">(D13+0.0287*E13)</f>
        <v>0.000199925601787238</v>
      </c>
      <c r="I13" s="20">
        <v>10</v>
      </c>
      <c r="J13" s="20">
        <v>12.3360424387969</v>
      </c>
      <c r="K13" s="20">
        <v>2.66992866918179</v>
      </c>
      <c r="L13" s="20" cm="1">
        <f t="array" ref="L13">ROUND(J13-K13,0)</f>
        <v>10</v>
      </c>
      <c r="M13" s="20" cm="1">
        <f t="array" ref="M13">ROUND(J13+K13,0)</f>
        <v>15</v>
      </c>
      <c r="N13" s="23">
        <v>5.09096e-05</v>
      </c>
      <c r="O13" s="20">
        <v>0.000239271114485931</v>
      </c>
      <c r="P13" s="20">
        <v>0.00448034802563458</v>
      </c>
      <c r="Q13" s="23" cm="1">
        <f t="array" ref="Q13">(O13-0.05*P13)</f>
        <v>1.5253713204202e-05</v>
      </c>
      <c r="R13" s="23" cm="1">
        <f t="array" ref="R13">(O13+0.25*P13)</f>
        <v>0.00135935812089458</v>
      </c>
      <c r="S13" s="23" cm="1">
        <f t="array" ref="S13">(O13+0.169*P13)</f>
        <v>0.0009964499308181751</v>
      </c>
      <c r="T13" s="20">
        <v>0.110187753</v>
      </c>
      <c r="U13" s="20">
        <v>0.114328081222077</v>
      </c>
      <c r="V13" s="20">
        <v>0.00634874033667674</v>
      </c>
      <c r="W13" s="23" cm="1">
        <f t="array" ref="W13">(U13-0.15*V13)</f>
        <v>0.113375770171575</v>
      </c>
      <c r="X13" s="23" cm="1">
        <f t="array" ref="X13">(U13+V13)</f>
        <v>0.120676821558754</v>
      </c>
      <c r="Y13" s="23" cm="1">
        <f t="array" ref="Y13">(U13-3*V13)</f>
        <v>0.09528186021204681</v>
      </c>
      <c r="Z13" s="23" cm="1">
        <f t="array" ref="Z13">(U13+5.5*V13)</f>
        <v>0.149246153073799</v>
      </c>
      <c r="AA13" s="20">
        <v>0.151150061</v>
      </c>
      <c r="AB13" s="20">
        <v>0.229071480730405</v>
      </c>
      <c r="AC13" s="20">
        <v>0.048780268288278</v>
      </c>
      <c r="AD13" s="23" cm="1">
        <f t="array" ref="AD13">(AB13-0.15*AC13)</f>
        <v>0.221754440487163</v>
      </c>
      <c r="AE13" s="23" cm="1">
        <f t="array" ref="AE13">(AB13+AC13)</f>
        <v>0.277851749018683</v>
      </c>
      <c r="AF13" s="23" cm="1">
        <f t="array" ref="AF13">(AB13-3*AC13)</f>
        <v>0.08273067586557099</v>
      </c>
      <c r="AG13" s="23" cm="1">
        <f t="array" ref="AG13">(AB13)</f>
        <v>0.229071480730405</v>
      </c>
      <c r="AH13" s="23" cm="1">
        <f t="array" ref="AH13">(AB13-2.15*AC13)</f>
        <v>0.124193903910607</v>
      </c>
      <c r="AI13" s="23" cm="1">
        <f t="array" ref="AI13">(AB13+1.75*AC13)</f>
        <v>0.314436950234892</v>
      </c>
      <c r="AJ13" s="44"/>
      <c r="AK13" s="45"/>
    </row>
    <row r="14" ht="13.65" customHeight="1">
      <c r="A14" t="s" s="50">
        <v>39</v>
      </c>
      <c r="B14" s="20">
        <v>1</v>
      </c>
      <c r="C14" s="23">
        <v>9.00849e-05</v>
      </c>
      <c r="D14" s="51">
        <v>7.42248718457297e-05</v>
      </c>
      <c r="E14" s="52">
        <v>0.00272200218495802</v>
      </c>
      <c r="F14" s="53" cm="1">
        <f t="array" ref="F14">(D14-0.01*E14)</f>
        <v>4.70048499961495e-05</v>
      </c>
      <c r="G14" s="23" cm="1">
        <f t="array" ref="G14">(D14+0.15*E14)</f>
        <v>0.000482525199589433</v>
      </c>
      <c r="H14" s="53" cm="1">
        <f t="array" ref="H14">(D14+0.0287*E14)</f>
        <v>0.000152346334554025</v>
      </c>
      <c r="I14" s="20">
        <v>8</v>
      </c>
      <c r="J14" s="52">
        <v>11.681402879873</v>
      </c>
      <c r="K14" s="52">
        <v>2.64128427432566</v>
      </c>
      <c r="L14" s="54" cm="1">
        <f t="array" ref="L14">ROUND(J14-K14,0)</f>
        <v>9</v>
      </c>
      <c r="M14" s="54" cm="1">
        <f t="array" ref="M14">ROUND(J14+K14,0)</f>
        <v>14</v>
      </c>
      <c r="N14" s="20">
        <v>0.00012561</v>
      </c>
      <c r="O14" s="52">
        <v>0.000138471993367519</v>
      </c>
      <c r="P14" s="52">
        <v>0.0027253180681085</v>
      </c>
      <c r="Q14" s="53" cm="1">
        <f t="array" ref="Q14">(O14-0.05*P14)</f>
        <v>2.206089962094e-06</v>
      </c>
      <c r="R14" s="23" cm="1">
        <f t="array" ref="R14">(O14+0.25*P14)</f>
        <v>0.000819801510394644</v>
      </c>
      <c r="S14" s="53" cm="1">
        <f t="array" ref="S14">(O14+0.169*P14)</f>
        <v>0.000599050746877856</v>
      </c>
      <c r="T14" s="20">
        <v>0.111185289</v>
      </c>
      <c r="U14" s="52">
        <v>0.114347048515393</v>
      </c>
      <c r="V14" s="52">
        <v>0.00502074413781942</v>
      </c>
      <c r="W14" s="23" cm="1">
        <f t="array" ref="W14">(U14-0.15*V14)</f>
        <v>0.11359393689472</v>
      </c>
      <c r="X14" s="23" cm="1">
        <f t="array" ref="X14">(U14+V14)</f>
        <v>0.119367792653212</v>
      </c>
      <c r="Y14" s="53" cm="1">
        <f t="array" ref="Y14">(U14-3*V14)</f>
        <v>0.09928481610193469</v>
      </c>
      <c r="Z14" s="53" cm="1">
        <f t="array" ref="Z14">(U14+5.5*V14)</f>
        <v>0.1419611412734</v>
      </c>
      <c r="AA14" s="20">
        <v>0.129583506</v>
      </c>
      <c r="AB14" s="52">
        <v>0.194950617767051</v>
      </c>
      <c r="AC14" s="52">
        <v>0.0455207854485173</v>
      </c>
      <c r="AD14" s="23" cm="1">
        <f t="array" ref="AD14">(AB14-0.15*AC14)</f>
        <v>0.188122499949773</v>
      </c>
      <c r="AE14" s="23" cm="1">
        <f t="array" ref="AE14">(AB14+AC14)</f>
        <v>0.240471403215568</v>
      </c>
      <c r="AF14" s="53" cm="1">
        <f t="array" ref="AF14">(AB14-3*AC14)</f>
        <v>0.0583882614214991</v>
      </c>
      <c r="AG14" s="23" cm="1">
        <f t="array" ref="AG14">(AB14)</f>
        <v>0.194950617767051</v>
      </c>
      <c r="AH14" s="23" cm="1">
        <f t="array" ref="AH14">(AB14-2.15*AC14)</f>
        <v>0.0970809290527388</v>
      </c>
      <c r="AI14" s="53" cm="1">
        <f t="array" ref="AI14">(AB14+1.75*AC14)</f>
        <v>0.274611992301956</v>
      </c>
      <c r="AJ14" s="44"/>
      <c r="AK14" s="45"/>
    </row>
    <row r="15" ht="13.65" customHeight="1">
      <c r="A15" t="s" s="46">
        <v>39</v>
      </c>
      <c r="B15" s="20">
        <v>2</v>
      </c>
      <c r="C15" s="20">
        <v>0.000169421</v>
      </c>
      <c r="D15" s="51">
        <v>7.42248718457297e-05</v>
      </c>
      <c r="E15" s="52">
        <v>0.00272200218495802</v>
      </c>
      <c r="F15" s="23" cm="1">
        <f t="array" ref="F15">(D15-0.01*E15)</f>
        <v>4.70048499961495e-05</v>
      </c>
      <c r="G15" s="23" cm="1">
        <f t="array" ref="G15">(D15+0.15*E15)</f>
        <v>0.000482525199589433</v>
      </c>
      <c r="H15" s="17" cm="1">
        <f t="array" ref="H15">(D15+0.0287*E15)</f>
        <v>0.000152346334554025</v>
      </c>
      <c r="I15" s="20">
        <v>12</v>
      </c>
      <c r="J15" s="52">
        <v>11.681402879873</v>
      </c>
      <c r="K15" s="52">
        <v>2.64128427432566</v>
      </c>
      <c r="L15" s="20" cm="1">
        <f t="array" ref="L15">ROUND(J15-K15,0)</f>
        <v>9</v>
      </c>
      <c r="M15" s="20" cm="1">
        <f t="array" ref="M15">ROUND(J15+K15,0)</f>
        <v>14</v>
      </c>
      <c r="N15" s="20">
        <v>0.004337921</v>
      </c>
      <c r="O15" s="52">
        <v>0.000138471993367519</v>
      </c>
      <c r="P15" s="52">
        <v>0.0027253180681085</v>
      </c>
      <c r="Q15" s="23" cm="1">
        <f t="array" ref="Q15">(O15-0.05*P15)</f>
        <v>2.206089962094e-06</v>
      </c>
      <c r="R15" s="23" cm="1">
        <f t="array" ref="R15">(O15+0.25*P15)</f>
        <v>0.000819801510394644</v>
      </c>
      <c r="S15" s="23" cm="1">
        <f t="array" ref="S15">(O15+0.169*P15)</f>
        <v>0.000599050746877856</v>
      </c>
      <c r="T15" s="20">
        <v>0.08117110800000001</v>
      </c>
      <c r="U15" s="52">
        <v>0.114347048515393</v>
      </c>
      <c r="V15" s="52">
        <v>0.00502074413781942</v>
      </c>
      <c r="W15" s="23" cm="1">
        <f t="array" ref="W15">(U15-0.15*V15)</f>
        <v>0.11359393689472</v>
      </c>
      <c r="X15" s="23" cm="1">
        <f t="array" ref="X15">(U15+V15)</f>
        <v>0.119367792653212</v>
      </c>
      <c r="Y15" s="23" cm="1">
        <f t="array" ref="Y15">(U15-3*V15)</f>
        <v>0.09928481610193469</v>
      </c>
      <c r="Z15" s="23" cm="1">
        <f t="array" ref="Z15">(U15+5.5*V15)</f>
        <v>0.1419611412734</v>
      </c>
      <c r="AA15" s="20">
        <v>0.077633994</v>
      </c>
      <c r="AB15" s="52">
        <v>0.194950617767051</v>
      </c>
      <c r="AC15" s="52">
        <v>0.0455207854485173</v>
      </c>
      <c r="AD15" s="23" cm="1">
        <f t="array" ref="AD15">(AB15-0.15*AC15)</f>
        <v>0.188122499949773</v>
      </c>
      <c r="AE15" s="23" cm="1">
        <f t="array" ref="AE15">(AB15+AC15)</f>
        <v>0.240471403215568</v>
      </c>
      <c r="AF15" s="23" cm="1">
        <f t="array" ref="AF15">(AB15-3*AC15)</f>
        <v>0.0583882614214991</v>
      </c>
      <c r="AG15" s="23" cm="1">
        <f t="array" ref="AG15">(AB15)</f>
        <v>0.194950617767051</v>
      </c>
      <c r="AH15" s="23" cm="1">
        <f t="array" ref="AH15">(AB15-2.15*AC15)</f>
        <v>0.0970809290527388</v>
      </c>
      <c r="AI15" s="23" cm="1">
        <f t="array" ref="AI15">(AB15+1.75*AC15)</f>
        <v>0.274611992301956</v>
      </c>
      <c r="AJ15" s="44"/>
      <c r="AK15" s="45"/>
    </row>
    <row r="16" ht="13.65" customHeight="1">
      <c r="A16" t="s" s="46">
        <v>39</v>
      </c>
      <c r="B16" s="20">
        <v>3</v>
      </c>
      <c r="C16" s="23">
        <v>8.69764e-05</v>
      </c>
      <c r="D16" s="51">
        <v>7.42248718457297e-05</v>
      </c>
      <c r="E16" s="52">
        <v>0.00272200218495802</v>
      </c>
      <c r="F16" s="23" cm="1">
        <f t="array" ref="F16">(D16-0.01*E16)</f>
        <v>4.70048499961495e-05</v>
      </c>
      <c r="G16" s="23" cm="1">
        <f t="array" ref="G16">(D16+0.15*E16)</f>
        <v>0.000482525199589433</v>
      </c>
      <c r="H16" s="36" cm="1">
        <f t="array" ref="H16">(D16+0.0287*E16)</f>
        <v>0.000152346334554025</v>
      </c>
      <c r="I16" s="20">
        <v>5</v>
      </c>
      <c r="J16" s="52">
        <v>11.681402879873</v>
      </c>
      <c r="K16" s="52">
        <v>2.64128427432566</v>
      </c>
      <c r="L16" s="20" cm="1">
        <f t="array" ref="L16">ROUND(J16-K16,0)</f>
        <v>9</v>
      </c>
      <c r="M16" s="20" cm="1">
        <f t="array" ref="M16">ROUND(J16+K16,0)</f>
        <v>14</v>
      </c>
      <c r="N16" s="20">
        <v>0.000269265</v>
      </c>
      <c r="O16" s="52">
        <v>0.000138471993367519</v>
      </c>
      <c r="P16" s="52">
        <v>0.0027253180681085</v>
      </c>
      <c r="Q16" s="23" cm="1">
        <f t="array" ref="Q16">(O16-0.05*P16)</f>
        <v>2.206089962094e-06</v>
      </c>
      <c r="R16" s="23" cm="1">
        <f t="array" ref="R16">(O16+0.25*P16)</f>
        <v>0.000819801510394644</v>
      </c>
      <c r="S16" s="23" cm="1">
        <f t="array" ref="S16">(O16+0.169*P16)</f>
        <v>0.000599050746877856</v>
      </c>
      <c r="T16" s="20">
        <v>0.144888554</v>
      </c>
      <c r="U16" s="52">
        <v>0.114347048515393</v>
      </c>
      <c r="V16" s="52">
        <v>0.00502074413781942</v>
      </c>
      <c r="W16" s="23" cm="1">
        <f t="array" ref="W16">(U16-0.15*V16)</f>
        <v>0.11359393689472</v>
      </c>
      <c r="X16" s="23" cm="1">
        <f t="array" ref="X16">(U16+V16)</f>
        <v>0.119367792653212</v>
      </c>
      <c r="Y16" s="23" cm="1">
        <f t="array" ref="Y16">(U16-3*V16)</f>
        <v>0.09928481610193469</v>
      </c>
      <c r="Z16" s="23" cm="1">
        <f t="array" ref="Z16">(U16+5.5*V16)</f>
        <v>0.1419611412734</v>
      </c>
      <c r="AA16" s="20">
        <v>0.051157237</v>
      </c>
      <c r="AB16" s="52">
        <v>0.194950617767051</v>
      </c>
      <c r="AC16" s="52">
        <v>0.0455207854485173</v>
      </c>
      <c r="AD16" s="23" cm="1">
        <f t="array" ref="AD16">(AB16-0.15*AC16)</f>
        <v>0.188122499949773</v>
      </c>
      <c r="AE16" s="23" cm="1">
        <f t="array" ref="AE16">(AB16+AC16)</f>
        <v>0.240471403215568</v>
      </c>
      <c r="AF16" s="23" cm="1">
        <f t="array" ref="AF16">(AB16-3*AC16)</f>
        <v>0.0583882614214991</v>
      </c>
      <c r="AG16" s="23" cm="1">
        <f t="array" ref="AG16">(AB16)</f>
        <v>0.194950617767051</v>
      </c>
      <c r="AH16" s="23" cm="1">
        <f t="array" ref="AH16">(AB16-2.15*AC16)</f>
        <v>0.0970809290527388</v>
      </c>
      <c r="AI16" s="23" cm="1">
        <f t="array" ref="AI16">(AB16+1.75*AC16)</f>
        <v>0.274611992301956</v>
      </c>
      <c r="AJ16" s="44"/>
      <c r="AK16" s="45"/>
    </row>
    <row r="17" ht="13.65" customHeight="1">
      <c r="A17" t="s" s="55">
        <v>40</v>
      </c>
      <c r="B17" s="56">
        <v>28</v>
      </c>
      <c r="C17" s="57">
        <v>9.008485225320001e-05</v>
      </c>
      <c r="D17" s="57">
        <v>8.898963555083419e-05</v>
      </c>
      <c r="E17" s="58">
        <v>0.00193684612472138</v>
      </c>
      <c r="F17" s="59" cm="1">
        <f t="array" ref="F17">(D17-0.01*E17)</f>
        <v>6.96211743036204e-05</v>
      </c>
      <c r="G17" s="23" cm="1">
        <f t="array" ref="G17">(D17+0.15*E17)</f>
        <v>0.000379516554259041</v>
      </c>
      <c r="H17" s="59" cm="1">
        <f t="array" ref="H17">(D17+0.0287*E17)</f>
        <v>0.000144577119330338</v>
      </c>
      <c r="I17" s="56">
        <v>8</v>
      </c>
      <c r="J17" s="60">
        <v>10.9847241936731</v>
      </c>
      <c r="K17" s="58">
        <v>2.9646336891354</v>
      </c>
      <c r="L17" s="61" cm="1">
        <f t="array" ref="L17">ROUND(J17-K17,0)</f>
        <v>8</v>
      </c>
      <c r="M17" s="61" cm="1">
        <f t="array" ref="M17">ROUND(J17+K17,0)</f>
        <v>14</v>
      </c>
      <c r="N17" s="56">
        <v>0.0001256104370001</v>
      </c>
      <c r="O17" s="60">
        <v>0.0005007721541378</v>
      </c>
      <c r="P17" s="58">
        <v>0.0022194054182732</v>
      </c>
      <c r="Q17" s="59" cm="1">
        <f t="array" ref="Q17">(O17-0.05*P17)</f>
        <v>0.00038980188322414</v>
      </c>
      <c r="R17" s="23" cm="1">
        <f t="array" ref="R17">(O17+0.25*P17)</f>
        <v>0.0010556235087061</v>
      </c>
      <c r="S17" s="59" cm="1">
        <f t="array" ref="S17">(O17+0.169*P17)</f>
        <v>0.000875851669825971</v>
      </c>
      <c r="T17" s="56">
        <v>0.111185289472238</v>
      </c>
      <c r="U17" s="60">
        <v>0.1127856688284</v>
      </c>
      <c r="V17" s="58">
        <v>0.0146787313410582</v>
      </c>
      <c r="W17" s="23" cm="1">
        <f t="array" ref="W17">(U17-0.15*V17)</f>
        <v>0.110583859127241</v>
      </c>
      <c r="X17" s="23" cm="1">
        <f t="array" ref="X17">(U17+V17)</f>
        <v>0.127464400169458</v>
      </c>
      <c r="Y17" s="59" cm="1">
        <f t="array" ref="Y17">(U17-3*V17)</f>
        <v>0.06874947480522541</v>
      </c>
      <c r="Z17" s="59" cm="1">
        <f t="array" ref="Z17">(U17+5.5*V17)</f>
        <v>0.19351869120422</v>
      </c>
      <c r="AA17" s="56">
        <v>0.129583505592635</v>
      </c>
      <c r="AB17" s="60">
        <v>0.191148515888775</v>
      </c>
      <c r="AC17" s="58">
        <v>0.0454446432974161</v>
      </c>
      <c r="AD17" s="23" cm="1">
        <f t="array" ref="AD17">(AB17-0.15*AC17)</f>
        <v>0.184331819394163</v>
      </c>
      <c r="AE17" s="23" cm="1">
        <f t="array" ref="AE17">(AB17+AC17)</f>
        <v>0.236593159186191</v>
      </c>
      <c r="AF17" s="59" cm="1">
        <f t="array" ref="AF17">(AB17-3*AC17)</f>
        <v>0.0548145859965267</v>
      </c>
      <c r="AG17" s="23" cm="1">
        <f t="array" ref="AG17">(AB17)</f>
        <v>0.191148515888775</v>
      </c>
      <c r="AH17" s="23" cm="1">
        <f t="array" ref="AH17">(AB17-2.15*AC17)</f>
        <v>0.0934425327993304</v>
      </c>
      <c r="AI17" s="59" cm="1">
        <f t="array" ref="AI17">(AB17+1.75*AC17)</f>
        <v>0.270676641659253</v>
      </c>
      <c r="AJ17" s="24"/>
      <c r="AK17" s="25"/>
    </row>
    <row r="18" ht="13.65" customHeight="1">
      <c r="A18" t="s" s="12">
        <v>40</v>
      </c>
      <c r="B18" s="62">
        <v>29</v>
      </c>
      <c r="C18" s="63">
        <v>7.79280916318e-05</v>
      </c>
      <c r="D18" s="63">
        <v>8.898963555083419e-05</v>
      </c>
      <c r="E18" s="64">
        <v>0.00193684612472138</v>
      </c>
      <c r="F18" s="23" cm="1">
        <f t="array" ref="F18">(D18-0.01*E18)</f>
        <v>6.96211743036204e-05</v>
      </c>
      <c r="G18" s="23" cm="1">
        <f t="array" ref="G18">(D18+0.15*E18)</f>
        <v>0.000379516554259041</v>
      </c>
      <c r="H18" s="21" cm="1">
        <f t="array" ref="H18">(D18+0.0287*E18)</f>
        <v>0.000144577119330338</v>
      </c>
      <c r="I18" s="62">
        <v>10</v>
      </c>
      <c r="J18" s="62">
        <v>10.9847241936731</v>
      </c>
      <c r="K18" s="64">
        <v>2.9646336891354</v>
      </c>
      <c r="L18" s="20" cm="1">
        <f t="array" ref="L18">ROUND(J18-K18,0)</f>
        <v>8</v>
      </c>
      <c r="M18" s="20" cm="1">
        <f t="array" ref="M18">ROUND(J18+K18,0)</f>
        <v>14</v>
      </c>
      <c r="N18" s="65">
        <v>5.0909646119e-05</v>
      </c>
      <c r="O18" s="62">
        <v>0.0005007721541378</v>
      </c>
      <c r="P18" s="64">
        <v>0.0022194054182732</v>
      </c>
      <c r="Q18" s="23" cm="1">
        <f t="array" ref="Q18">(O18-0.05*P18)</f>
        <v>0.00038980188322414</v>
      </c>
      <c r="R18" s="23" cm="1">
        <f t="array" ref="R18">(O18+0.25*P18)</f>
        <v>0.0010556235087061</v>
      </c>
      <c r="S18" s="23" cm="1">
        <f t="array" ref="S18">(O18+0.169*P18)</f>
        <v>0.000875851669825971</v>
      </c>
      <c r="T18" s="66">
        <v>0.110187753389431</v>
      </c>
      <c r="U18" s="62">
        <v>0.1127856688284</v>
      </c>
      <c r="V18" s="67">
        <v>0.0146787313410582</v>
      </c>
      <c r="W18" s="23" cm="1">
        <f t="array" ref="W18">(U18-0.15*V18)</f>
        <v>0.110583859127241</v>
      </c>
      <c r="X18" s="23" cm="1">
        <f t="array" ref="X18">(U18+V18)</f>
        <v>0.127464400169458</v>
      </c>
      <c r="Y18" s="23" cm="1">
        <f t="array" ref="Y18">(U18-3*V18)</f>
        <v>0.06874947480522541</v>
      </c>
      <c r="Z18" s="23" cm="1">
        <f t="array" ref="Z18">(U18+5.5*V18)</f>
        <v>0.19351869120422</v>
      </c>
      <c r="AA18" s="66">
        <v>0.151150060986003</v>
      </c>
      <c r="AB18" s="62">
        <v>0.191148515888775</v>
      </c>
      <c r="AC18" s="64">
        <v>0.0454446432974161</v>
      </c>
      <c r="AD18" s="23" cm="1">
        <f t="array" ref="AD18">(AB18-0.15*AC18)</f>
        <v>0.184331819394163</v>
      </c>
      <c r="AE18" s="23" cm="1">
        <f t="array" ref="AE18">(AB18+AC18)</f>
        <v>0.236593159186191</v>
      </c>
      <c r="AF18" s="23" cm="1">
        <f t="array" ref="AF18">(AB18-3*AC18)</f>
        <v>0.0548145859965267</v>
      </c>
      <c r="AG18" s="23" cm="1">
        <f t="array" ref="AG18">(AB18)</f>
        <v>0.191148515888775</v>
      </c>
      <c r="AH18" s="23" cm="1">
        <f t="array" ref="AH18">(AB18-2.15*AC18)</f>
        <v>0.0934425327993304</v>
      </c>
      <c r="AI18" s="23" cm="1">
        <f t="array" ref="AI18">(AB18+1.75*AC18)</f>
        <v>0.270676641659253</v>
      </c>
      <c r="AJ18" s="32"/>
      <c r="AK18" s="33"/>
    </row>
    <row r="19" ht="13.65" customHeight="1">
      <c r="A19" t="s" s="3">
        <v>40</v>
      </c>
      <c r="B19" s="62">
        <v>30</v>
      </c>
      <c r="C19" s="62">
        <v>0.0001630581627106</v>
      </c>
      <c r="D19" s="63">
        <v>8.898963555083419e-05</v>
      </c>
      <c r="E19" s="64">
        <v>0.00193684612472138</v>
      </c>
      <c r="F19" s="23" cm="1">
        <f t="array" ref="F19">(D19-0.01*E19)</f>
        <v>6.96211743036204e-05</v>
      </c>
      <c r="G19" s="23" cm="1">
        <f t="array" ref="G19">(D19+0.15*E19)</f>
        <v>0.000379516554259041</v>
      </c>
      <c r="H19" s="68" cm="1">
        <f t="array" ref="H19">(D19+0.0287*E19)</f>
        <v>0.000144577119330338</v>
      </c>
      <c r="I19" s="62">
        <v>7</v>
      </c>
      <c r="J19" s="62">
        <v>10.9847241936731</v>
      </c>
      <c r="K19" s="64">
        <v>2.9646336891354</v>
      </c>
      <c r="L19" s="20" cm="1">
        <f t="array" ref="L19">ROUND(J19-K19,0)</f>
        <v>8</v>
      </c>
      <c r="M19" s="20" cm="1">
        <f t="array" ref="M19">ROUND(J19+K19,0)</f>
        <v>14</v>
      </c>
      <c r="N19" s="66">
        <v>0.00015932274605</v>
      </c>
      <c r="O19" s="62">
        <v>0.0005007721541378</v>
      </c>
      <c r="P19" s="64">
        <v>0.0022194054182732</v>
      </c>
      <c r="Q19" s="23" cm="1">
        <f t="array" ref="Q19">(O19-0.05*P19)</f>
        <v>0.00038980188322414</v>
      </c>
      <c r="R19" s="23" cm="1">
        <f t="array" ref="R19">(O19+0.25*P19)</f>
        <v>0.0010556235087061</v>
      </c>
      <c r="S19" s="23" cm="1">
        <f t="array" ref="S19">(O19+0.169*P19)</f>
        <v>0.000875851669825971</v>
      </c>
      <c r="T19" s="66">
        <v>0.132686731096584</v>
      </c>
      <c r="U19" s="62">
        <v>0.1127856688284</v>
      </c>
      <c r="V19" s="64">
        <v>0.0146787313410582</v>
      </c>
      <c r="W19" s="23" cm="1">
        <f t="array" ref="W19">(U19-0.15*V19)</f>
        <v>0.110583859127241</v>
      </c>
      <c r="X19" s="23" cm="1">
        <f t="array" ref="X19">(U19+V19)</f>
        <v>0.127464400169458</v>
      </c>
      <c r="Y19" s="23" cm="1">
        <f t="array" ref="Y19">(U19-3*V19)</f>
        <v>0.06874947480522541</v>
      </c>
      <c r="Z19" s="23" cm="1">
        <f t="array" ref="Z19">(U19+5.5*V19)</f>
        <v>0.19351869120422</v>
      </c>
      <c r="AA19" s="66">
        <v>0.247590919969037</v>
      </c>
      <c r="AB19" s="62">
        <v>0.191148515888775</v>
      </c>
      <c r="AC19" s="64">
        <v>0.0454446432974161</v>
      </c>
      <c r="AD19" s="23" cm="1">
        <f t="array" ref="AD19">(AB19-0.15*AC19)</f>
        <v>0.184331819394163</v>
      </c>
      <c r="AE19" s="23" cm="1">
        <f t="array" ref="AE19">(AB19+AC19)</f>
        <v>0.236593159186191</v>
      </c>
      <c r="AF19" s="23" cm="1">
        <f t="array" ref="AF19">(AB19-3*AC19)</f>
        <v>0.0548145859965267</v>
      </c>
      <c r="AG19" s="23" cm="1">
        <f t="array" ref="AG19">(AB19)</f>
        <v>0.191148515888775</v>
      </c>
      <c r="AH19" s="23" cm="1">
        <f t="array" ref="AH19">(AB19-2.15*AC19)</f>
        <v>0.0934425327993304</v>
      </c>
      <c r="AI19" s="23" cm="1">
        <f t="array" ref="AI19">(AB19+1.75*AC19)</f>
        <v>0.270676641659253</v>
      </c>
      <c r="AJ19" s="32"/>
      <c r="AK19" s="33"/>
    </row>
    <row r="20" ht="13.65" customHeight="1">
      <c r="A20" s="33"/>
      <c r="B20" s="33"/>
      <c r="C20" s="33"/>
      <c r="D20" s="33"/>
      <c r="E20" s="33"/>
      <c r="F20" s="25"/>
      <c r="G20" s="25"/>
      <c r="H20" s="33"/>
      <c r="I20" s="33"/>
      <c r="J20" s="33"/>
      <c r="K20" s="33"/>
      <c r="L20" s="25"/>
      <c r="M20" s="25"/>
      <c r="N20" s="33"/>
      <c r="O20" s="33"/>
      <c r="P20" s="33"/>
      <c r="Q20" s="69"/>
      <c r="R20" s="69"/>
      <c r="S20" s="69"/>
      <c r="T20" s="33"/>
      <c r="U20" s="33"/>
      <c r="V20" s="33"/>
      <c r="W20" s="69"/>
      <c r="X20" s="69"/>
      <c r="Y20" s="69"/>
      <c r="Z20" s="69"/>
      <c r="AA20" s="33"/>
      <c r="AB20" s="33"/>
      <c r="AC20" s="33"/>
      <c r="AD20" s="69"/>
      <c r="AE20" s="69"/>
      <c r="AF20" s="69"/>
      <c r="AG20" s="69"/>
      <c r="AH20" s="69"/>
      <c r="AI20" s="25"/>
      <c r="AJ20" s="33"/>
      <c r="AK20" s="33"/>
    </row>
    <row r="21" ht="13.65" customHeight="1">
      <c r="A21" s="33"/>
      <c r="B21" s="33"/>
      <c r="C21" s="33"/>
      <c r="D21" s="33"/>
      <c r="E21" s="26" cm="1">
        <f t="array" ref="E21">(E28)</f>
        <v>0</v>
      </c>
      <c r="F21" s="40"/>
      <c r="G21" s="40"/>
      <c r="H21" s="33"/>
      <c r="I21" s="33"/>
      <c r="J21" s="33"/>
      <c r="K21" s="33"/>
      <c r="L21" s="40"/>
      <c r="M21" s="40"/>
      <c r="N21" s="33"/>
      <c r="O21" s="33"/>
      <c r="P21" s="33"/>
      <c r="Q21" s="4"/>
      <c r="R21" s="4"/>
      <c r="S21" s="4"/>
      <c r="T21" s="33"/>
      <c r="U21" s="33"/>
      <c r="V21" s="33"/>
      <c r="W21" s="4"/>
      <c r="X21" s="4"/>
      <c r="Y21" s="27"/>
      <c r="Z21" s="27"/>
      <c r="AA21" s="33"/>
      <c r="AB21" s="33"/>
      <c r="AC21" s="33"/>
      <c r="AD21" s="4"/>
      <c r="AE21" s="4"/>
      <c r="AF21" s="27"/>
      <c r="AG21" s="27"/>
      <c r="AH21" s="27"/>
      <c r="AI21" s="33"/>
      <c r="AJ21" s="33"/>
      <c r="AK21" s="33"/>
    </row>
    <row r="22" ht="16.5" customHeight="1">
      <c r="A22" t="s" s="3">
        <v>41</v>
      </c>
      <c r="B22" s="33"/>
      <c r="C22" s="33"/>
      <c r="D22" s="33"/>
      <c r="E22" s="70"/>
      <c r="F22" s="71"/>
      <c r="G22" s="71"/>
      <c r="H22" s="32"/>
      <c r="I22" s="33"/>
      <c r="J22" s="33"/>
      <c r="K22" s="70"/>
      <c r="L22" s="71"/>
      <c r="M22" s="71"/>
      <c r="N22" s="32"/>
      <c r="O22" s="33"/>
      <c r="P22" s="70"/>
      <c r="Q22" s="71"/>
      <c r="R22" s="71"/>
      <c r="S22" s="44"/>
      <c r="T22" s="32"/>
      <c r="U22" s="33"/>
      <c r="V22" s="70"/>
      <c r="W22" s="71"/>
      <c r="X22" s="71"/>
      <c r="Y22" s="72"/>
      <c r="Z22" s="27"/>
      <c r="AA22" s="33"/>
      <c r="AB22" s="33"/>
      <c r="AC22" s="70"/>
      <c r="AD22" s="71"/>
      <c r="AE22" s="71"/>
      <c r="AF22" s="72"/>
      <c r="AG22" s="4"/>
      <c r="AH22" s="27"/>
      <c r="AI22" s="33"/>
      <c r="AJ22" s="33"/>
      <c r="AK22" s="33"/>
    </row>
    <row r="23" ht="16.5" customHeight="1">
      <c r="A23" t="s" s="2">
        <v>42</v>
      </c>
      <c r="B23" s="33"/>
      <c r="C23" s="33"/>
      <c r="D23" s="33"/>
      <c r="E23" s="70"/>
      <c r="F23" s="71"/>
      <c r="G23" s="71"/>
      <c r="H23" s="32"/>
      <c r="I23" s="33"/>
      <c r="J23" s="33"/>
      <c r="K23" s="70"/>
      <c r="L23" s="71"/>
      <c r="M23" s="71"/>
      <c r="N23" s="32"/>
      <c r="O23" s="33"/>
      <c r="P23" s="70"/>
      <c r="Q23" s="71"/>
      <c r="R23" s="71"/>
      <c r="S23" s="44"/>
      <c r="T23" s="32"/>
      <c r="U23" s="33"/>
      <c r="V23" s="33"/>
      <c r="W23" s="14"/>
      <c r="X23" s="71"/>
      <c r="Y23" s="71"/>
      <c r="Z23" s="72"/>
      <c r="AA23" s="33"/>
      <c r="AB23" s="33"/>
      <c r="AC23" s="33"/>
      <c r="AD23" s="69"/>
      <c r="AE23" s="14"/>
      <c r="AF23" s="71"/>
      <c r="AG23" s="71"/>
      <c r="AH23" s="68"/>
      <c r="AI23" s="40"/>
      <c r="AJ23" s="33"/>
      <c r="AK23" s="33"/>
    </row>
    <row r="24" ht="16.5" customHeight="1">
      <c r="A24" t="s" s="50">
        <v>43</v>
      </c>
      <c r="B24" s="32"/>
      <c r="C24" s="33"/>
      <c r="D24" s="33"/>
      <c r="E24" s="70"/>
      <c r="F24" s="71"/>
      <c r="G24" s="71"/>
      <c r="H24" s="32"/>
      <c r="I24" s="33"/>
      <c r="J24" s="33"/>
      <c r="K24" s="70"/>
      <c r="L24" s="71"/>
      <c r="M24" s="71"/>
      <c r="N24" s="32"/>
      <c r="O24" s="33"/>
      <c r="P24" s="70"/>
      <c r="Q24" s="71"/>
      <c r="R24" s="71"/>
      <c r="S24" s="44"/>
      <c r="T24" s="32"/>
      <c r="U24" s="33"/>
      <c r="V24" s="33"/>
      <c r="W24" s="27"/>
      <c r="X24" s="14"/>
      <c r="Y24" s="71"/>
      <c r="Z24" s="71"/>
      <c r="AA24" s="32"/>
      <c r="AB24" s="33"/>
      <c r="AC24" s="33"/>
      <c r="AD24" s="27"/>
      <c r="AE24" s="28"/>
      <c r="AF24" s="71"/>
      <c r="AG24" s="21"/>
      <c r="AH24" s="35"/>
      <c r="AI24" s="71"/>
      <c r="AJ24" s="32"/>
      <c r="AK24" s="33"/>
    </row>
    <row r="25" ht="13.65" customHeight="1">
      <c r="A25" t="s" s="73">
        <v>44</v>
      </c>
      <c r="B25" s="33"/>
      <c r="C25" s="33"/>
      <c r="D25" s="33"/>
      <c r="E25" s="70"/>
      <c r="F25" s="71"/>
      <c r="G25" s="71"/>
      <c r="H25" s="39"/>
      <c r="I25" s="33"/>
      <c r="J25" s="33"/>
      <c r="K25" s="70"/>
      <c r="L25" s="71"/>
      <c r="M25" s="71"/>
      <c r="N25" s="32"/>
      <c r="O25" s="33"/>
      <c r="P25" s="70"/>
      <c r="Q25" s="71"/>
      <c r="R25" s="71"/>
      <c r="S25" s="44"/>
      <c r="T25" s="32"/>
      <c r="U25" s="33"/>
      <c r="V25" s="27"/>
      <c r="W25" s="27"/>
      <c r="X25" s="28"/>
      <c r="Y25" s="71"/>
      <c r="Z25" s="71"/>
      <c r="AA25" s="32"/>
      <c r="AB25" s="33"/>
      <c r="AC25" s="33"/>
      <c r="AD25" s="33"/>
      <c r="AE25" s="33"/>
      <c r="AF25" s="25"/>
      <c r="AG25" s="70"/>
      <c r="AH25" s="71"/>
      <c r="AI25" s="71"/>
      <c r="AJ25" s="32"/>
      <c r="AK25" s="33"/>
    </row>
    <row r="26" ht="13.65" customHeight="1">
      <c r="A26" t="s" s="50">
        <v>45</v>
      </c>
      <c r="B26" s="32"/>
      <c r="C26" s="33"/>
      <c r="D26" s="33"/>
      <c r="E26" s="70"/>
      <c r="F26" s="71"/>
      <c r="G26" s="74"/>
      <c r="H26" s="71"/>
      <c r="I26" s="32"/>
      <c r="J26" s="33"/>
      <c r="K26" s="70"/>
      <c r="L26" s="71"/>
      <c r="M26" s="71"/>
      <c r="N26" s="32"/>
      <c r="O26" s="33"/>
      <c r="P26" s="70"/>
      <c r="Q26" s="75"/>
      <c r="R26" s="17"/>
      <c r="S26" s="75"/>
      <c r="T26" s="32"/>
      <c r="U26" s="33"/>
      <c r="V26" s="33"/>
      <c r="W26" s="27"/>
      <c r="X26" s="28"/>
      <c r="Y26" s="71"/>
      <c r="Z26" s="71"/>
      <c r="AA26" s="32"/>
      <c r="AB26" s="33"/>
      <c r="AC26" s="33"/>
      <c r="AD26" s="27"/>
      <c r="AE26" s="27"/>
      <c r="AF26" s="4"/>
      <c r="AG26" s="28"/>
      <c r="AH26" s="75"/>
      <c r="AI26" s="71"/>
      <c r="AJ26" s="32"/>
      <c r="AK26" s="33"/>
    </row>
    <row r="27" ht="13.65" customHeight="1">
      <c r="A27" t="s" s="50">
        <v>46</v>
      </c>
      <c r="B27" s="32"/>
      <c r="C27" s="33"/>
      <c r="D27" s="33"/>
      <c r="E27" s="70"/>
      <c r="F27" s="71"/>
      <c r="G27" s="76"/>
      <c r="H27" s="71"/>
      <c r="I27" s="32"/>
      <c r="J27" s="33"/>
      <c r="K27" s="70"/>
      <c r="L27" s="71"/>
      <c r="M27" s="71"/>
      <c r="N27" s="32"/>
      <c r="O27" s="33"/>
      <c r="P27" s="70"/>
      <c r="Q27" s="71"/>
      <c r="R27" s="29"/>
      <c r="S27" s="71"/>
      <c r="T27" s="32"/>
      <c r="U27" s="33"/>
      <c r="V27" s="33"/>
      <c r="W27" s="27"/>
      <c r="X27" s="28"/>
      <c r="Y27" s="71"/>
      <c r="Z27" s="71"/>
      <c r="AA27" s="32"/>
      <c r="AB27" s="33"/>
      <c r="AC27" s="33"/>
      <c r="AD27" s="27"/>
      <c r="AE27" s="28"/>
      <c r="AF27" s="71"/>
      <c r="AG27" s="68"/>
      <c r="AH27" s="14"/>
      <c r="AI27" s="71"/>
      <c r="AJ27" s="32"/>
      <c r="AK27" s="33"/>
    </row>
    <row r="28" ht="13.65" customHeight="1">
      <c r="A28" s="25"/>
      <c r="B28" s="33"/>
      <c r="C28" s="33"/>
      <c r="D28" s="33"/>
      <c r="E28" s="33"/>
      <c r="F28" s="25"/>
      <c r="G28" s="33"/>
      <c r="H28" s="25"/>
      <c r="I28" s="33"/>
      <c r="J28" s="33"/>
      <c r="K28" s="33"/>
      <c r="L28" s="25"/>
      <c r="M28" s="25"/>
      <c r="N28" s="33"/>
      <c r="O28" s="33"/>
      <c r="P28" s="33"/>
      <c r="Q28" s="25"/>
      <c r="R28" s="27"/>
      <c r="S28" s="69"/>
      <c r="T28" s="33"/>
      <c r="U28" s="33"/>
      <c r="V28" s="33"/>
      <c r="W28" s="27"/>
      <c r="X28" s="27"/>
      <c r="Y28" s="69"/>
      <c r="Z28" s="69"/>
      <c r="AA28" s="33"/>
      <c r="AB28" t="s" s="3">
        <v>47</v>
      </c>
      <c r="AC28" s="33"/>
      <c r="AD28" s="27"/>
      <c r="AE28" s="27"/>
      <c r="AF28" s="69"/>
      <c r="AG28" s="27"/>
      <c r="AH28" s="27"/>
      <c r="AI28" s="25"/>
      <c r="AJ28" s="33"/>
      <c r="AK28" s="33"/>
    </row>
    <row r="29" ht="13.6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27"/>
      <c r="S29" s="27"/>
      <c r="T29" s="33"/>
      <c r="U29" s="33"/>
      <c r="V29" s="33"/>
      <c r="W29" s="27"/>
      <c r="X29" s="27"/>
      <c r="Y29" s="27"/>
      <c r="Z29" s="27"/>
      <c r="AA29" s="33"/>
      <c r="AB29" s="33"/>
      <c r="AC29" s="33"/>
      <c r="AD29" s="27"/>
      <c r="AE29" s="27"/>
      <c r="AF29" s="27"/>
      <c r="AG29" s="27"/>
      <c r="AH29" s="27"/>
      <c r="AI29" s="33"/>
      <c r="AJ29" s="33"/>
      <c r="AK29" s="33"/>
    </row>
    <row r="30" ht="13.65" customHeight="1">
      <c r="A30" s="33"/>
      <c r="B30" s="33"/>
      <c r="C30" s="33"/>
      <c r="D30" s="33"/>
      <c r="E30" s="33"/>
      <c r="F30" s="27" cm="1">
        <f t="array" ref="F30">(D5-C5)/(E5*0.01)</f>
        <v>-0.00158238771916976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t="s" s="3">
        <v>48</v>
      </c>
      <c r="R30" s="27"/>
      <c r="S30" s="27"/>
      <c r="T30" s="33"/>
      <c r="U30" s="33"/>
      <c r="V30" s="33"/>
      <c r="W30" s="27"/>
      <c r="X30" s="27"/>
      <c r="Y30" s="27"/>
      <c r="Z30" s="27"/>
      <c r="AA30" s="33"/>
      <c r="AB30" s="33"/>
      <c r="AC30" s="33"/>
      <c r="AD30" s="27" cm="1">
        <f t="array" ref="AD30">(AC30*AC5)</f>
        <v>0</v>
      </c>
      <c r="AE30" s="27" cm="1">
        <f t="array" ref="AE30">(AB5-AD30*3)</f>
        <v>0.276587453333333</v>
      </c>
      <c r="AF30" s="27"/>
      <c r="AG30" s="27"/>
      <c r="AH30" s="27"/>
      <c r="AI30" s="27" cm="1">
        <f t="array" ref="AI30">(AG19)</f>
        <v>0.191148515888775</v>
      </c>
      <c r="AJ30" s="33"/>
      <c r="AK30" s="33"/>
    </row>
    <row r="31" ht="13.65" customHeight="1">
      <c r="A31" t="s" s="3">
        <v>49</v>
      </c>
      <c r="B31" t="s" s="3">
        <v>50</v>
      </c>
      <c r="C31" t="s" s="3">
        <v>51</v>
      </c>
      <c r="D31" t="s" s="3">
        <v>52</v>
      </c>
      <c r="E31" t="s" s="3">
        <v>53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7" cm="1">
        <f t="array" ref="Q31">(O5-0.05*P5*0.0035)</f>
        <v>-0.000126908020230074</v>
      </c>
      <c r="R31" s="27"/>
      <c r="S31" s="27" cm="1">
        <f t="array" ref="S31">(O5-N5)/(P5*0.005)</f>
        <v>0.0241784057349887</v>
      </c>
      <c r="T31" s="33"/>
      <c r="U31" s="33"/>
      <c r="V31" s="26" cm="1">
        <f t="array" ref="V31">(U5-3*0.0035*V5)</f>
        <v>0.0834376321508082</v>
      </c>
      <c r="W31" s="27" cm="1">
        <f t="array" ref="W31">(U5+V5*AC32*5.5)</f>
        <v>0.172687678945739</v>
      </c>
      <c r="X31" s="27"/>
      <c r="Y31" s="27"/>
      <c r="Z31" s="27"/>
      <c r="AA31" s="33"/>
      <c r="AB31" s="33"/>
      <c r="AC31" s="40"/>
      <c r="AD31" s="27"/>
      <c r="AE31" s="27"/>
      <c r="AF31" s="27"/>
      <c r="AG31" s="27"/>
      <c r="AH31" s="27"/>
      <c r="AI31" s="33"/>
      <c r="AJ31" s="33"/>
      <c r="AK31" s="33"/>
    </row>
    <row r="32" ht="13.65" customHeight="1">
      <c r="A32" s="33"/>
      <c r="B32" t="s" s="3">
        <v>54</v>
      </c>
      <c r="C32" t="s" s="3">
        <v>55</v>
      </c>
      <c r="D32" t="s" s="3">
        <v>56</v>
      </c>
      <c r="E32" t="s" s="3">
        <v>57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7"/>
      <c r="R32" s="27"/>
      <c r="S32" s="27"/>
      <c r="T32" s="33"/>
      <c r="U32" s="33"/>
      <c r="V32" s="33"/>
      <c r="W32" s="27"/>
      <c r="X32" s="27"/>
      <c r="Y32" s="27"/>
      <c r="Z32" s="27"/>
      <c r="AA32" s="33"/>
      <c r="AB32" s="70"/>
      <c r="AC32" s="42" cm="1">
        <f t="array" ref="AC32">0.0035</f>
        <v>0.0035</v>
      </c>
      <c r="AD32" s="68" cm="1">
        <f t="array" ref="AD32">(AB5-3*0.0035*AC5)</f>
        <v>0.245087355347666</v>
      </c>
      <c r="AE32" s="27" cm="1">
        <f t="array" ref="AE32">(AB5+AC5*1.75*AC32)</f>
        <v>0.294962510491639</v>
      </c>
      <c r="AF32" s="27"/>
      <c r="AG32" s="27"/>
      <c r="AH32" s="27"/>
      <c r="AI32" s="33"/>
      <c r="AJ32" s="33"/>
      <c r="AK32" s="33"/>
    </row>
    <row r="33" ht="13.6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7"/>
      <c r="R33" s="27"/>
      <c r="S33" s="27"/>
      <c r="T33" s="33"/>
      <c r="U33" s="33"/>
      <c r="V33" s="33"/>
      <c r="W33" s="27"/>
      <c r="X33" s="27"/>
      <c r="Y33" s="27"/>
      <c r="Z33" s="27"/>
      <c r="AA33" s="33"/>
      <c r="AB33" s="33"/>
      <c r="AC33" s="25"/>
      <c r="AD33" s="27"/>
      <c r="AE33" s="27"/>
      <c r="AF33" s="27"/>
      <c r="AG33" s="27"/>
      <c r="AH33" s="27"/>
      <c r="AI33" s="33"/>
      <c r="AJ33" s="33"/>
      <c r="AK33" s="33"/>
    </row>
    <row r="34" ht="13.6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7"/>
      <c r="R34" s="27"/>
      <c r="S34" s="27"/>
      <c r="T34" s="33"/>
      <c r="U34" s="33"/>
      <c r="V34" s="33"/>
      <c r="W34" s="27"/>
      <c r="X34" s="27"/>
      <c r="Y34" s="27"/>
      <c r="Z34" s="27"/>
      <c r="AA34" s="33"/>
      <c r="AB34" s="33"/>
      <c r="AC34" s="33"/>
      <c r="AD34" s="27"/>
      <c r="AE34" s="27"/>
      <c r="AF34" s="27"/>
      <c r="AG34" s="27"/>
      <c r="AH34" s="27"/>
      <c r="AI34" s="33"/>
      <c r="AJ34" s="33"/>
      <c r="AK34" s="33"/>
    </row>
    <row r="35" ht="13.6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7"/>
      <c r="R35" s="27"/>
      <c r="S35" s="27"/>
      <c r="T35" s="33"/>
      <c r="U35" s="33"/>
      <c r="V35" s="33"/>
      <c r="W35" s="27"/>
      <c r="X35" s="27"/>
      <c r="Y35" s="27"/>
      <c r="Z35" s="27"/>
      <c r="AA35" s="33"/>
      <c r="AB35" s="33"/>
      <c r="AC35" s="33"/>
      <c r="AD35" s="27"/>
      <c r="AE35" s="27"/>
      <c r="AF35" s="27"/>
      <c r="AG35" s="27"/>
      <c r="AH35" s="27"/>
      <c r="AI35" s="33"/>
      <c r="AJ35" s="33"/>
      <c r="AK35" s="33"/>
    </row>
    <row r="36" ht="13.6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7"/>
      <c r="R36" s="27"/>
      <c r="S36" s="27"/>
      <c r="T36" s="33"/>
      <c r="U36" s="33"/>
      <c r="V36" s="33"/>
      <c r="W36" s="27"/>
      <c r="X36" s="27"/>
      <c r="Y36" s="27"/>
      <c r="Z36" s="27"/>
      <c r="AA36" s="33"/>
      <c r="AB36" s="33"/>
      <c r="AC36" s="33"/>
      <c r="AD36" s="27"/>
      <c r="AE36" s="27"/>
      <c r="AF36" s="27"/>
      <c r="AG36" s="27"/>
      <c r="AH36" s="27"/>
      <c r="AI36" s="33"/>
      <c r="AJ36" s="33"/>
      <c r="AK36" s="33"/>
    </row>
    <row r="37" ht="13.6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7"/>
      <c r="R37" s="27"/>
      <c r="S37" s="27"/>
      <c r="T37" s="33"/>
      <c r="U37" s="33"/>
      <c r="V37" s="33"/>
      <c r="W37" s="27"/>
      <c r="X37" s="27"/>
      <c r="Y37" s="27"/>
      <c r="Z37" s="27"/>
      <c r="AA37" s="33"/>
      <c r="AB37" s="33"/>
      <c r="AC37" s="33"/>
      <c r="AD37" s="27"/>
      <c r="AE37" s="27"/>
      <c r="AF37" s="27"/>
      <c r="AG37" s="27"/>
      <c r="AH37" s="27"/>
      <c r="AI37" s="33"/>
      <c r="AJ37" s="33"/>
      <c r="AK37" s="33"/>
    </row>
    <row r="38" ht="13.6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7"/>
      <c r="R38" s="27"/>
      <c r="S38" s="27"/>
      <c r="T38" s="33"/>
      <c r="U38" s="33"/>
      <c r="V38" s="33"/>
      <c r="W38" s="27"/>
      <c r="X38" s="27"/>
      <c r="Y38" s="27"/>
      <c r="Z38" s="27"/>
      <c r="AA38" s="33"/>
      <c r="AB38" s="33"/>
      <c r="AC38" s="33"/>
      <c r="AD38" s="27"/>
      <c r="AE38" s="27"/>
      <c r="AF38" s="27"/>
      <c r="AG38" s="27"/>
      <c r="AH38" s="27"/>
      <c r="AI38" s="33"/>
      <c r="AJ38" s="33"/>
      <c r="AK38" s="33"/>
    </row>
    <row r="39" ht="13.6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7"/>
      <c r="R39" s="27"/>
      <c r="S39" s="27"/>
      <c r="T39" s="33"/>
      <c r="U39" s="33"/>
      <c r="V39" s="33"/>
      <c r="W39" s="27"/>
      <c r="X39" s="27"/>
      <c r="Y39" s="27"/>
      <c r="Z39" s="27"/>
      <c r="AA39" s="33"/>
      <c r="AB39" s="33"/>
      <c r="AC39" s="33"/>
      <c r="AD39" s="27"/>
      <c r="AE39" s="27"/>
      <c r="AF39" s="27"/>
      <c r="AG39" s="27"/>
      <c r="AH39" s="27"/>
      <c r="AI39" s="33"/>
      <c r="AJ39" s="33"/>
      <c r="AK39" s="33"/>
    </row>
    <row r="40" ht="13.6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7"/>
      <c r="R40" s="27"/>
      <c r="S40" s="27"/>
      <c r="T40" s="33"/>
      <c r="U40" s="33"/>
      <c r="V40" s="33"/>
      <c r="W40" s="27"/>
      <c r="X40" s="27"/>
      <c r="Y40" s="27"/>
      <c r="Z40" s="27"/>
      <c r="AA40" s="33"/>
      <c r="AB40" s="33"/>
      <c r="AC40" s="33"/>
      <c r="AD40" s="27"/>
      <c r="AE40" s="27"/>
      <c r="AF40" s="27"/>
      <c r="AG40" s="27"/>
      <c r="AH40" s="27"/>
      <c r="AI40" s="33"/>
      <c r="AJ40" s="33"/>
      <c r="AK40" s="33"/>
    </row>
    <row r="41" ht="13.6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7"/>
      <c r="R41" s="27"/>
      <c r="S41" s="27"/>
      <c r="T41" s="33"/>
      <c r="U41" s="33"/>
      <c r="V41" s="33"/>
      <c r="W41" s="27"/>
      <c r="X41" s="27"/>
      <c r="Y41" s="27"/>
      <c r="Z41" s="27"/>
      <c r="AA41" s="33"/>
      <c r="AB41" s="33"/>
      <c r="AC41" s="33"/>
      <c r="AD41" s="27"/>
      <c r="AE41" s="27"/>
      <c r="AF41" s="27"/>
      <c r="AG41" s="27"/>
      <c r="AH41" s="27"/>
      <c r="AI41" s="33"/>
      <c r="AJ41" s="33"/>
      <c r="AK41" s="33"/>
    </row>
    <row r="42" ht="13.6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7"/>
      <c r="R42" s="27"/>
      <c r="S42" s="27"/>
      <c r="T42" s="33"/>
      <c r="U42" s="33"/>
      <c r="V42" s="33"/>
      <c r="W42" s="27"/>
      <c r="X42" s="27"/>
      <c r="Y42" s="27"/>
      <c r="Z42" s="27"/>
      <c r="AA42" s="33"/>
      <c r="AB42" s="33"/>
      <c r="AC42" s="33"/>
      <c r="AD42" s="27"/>
      <c r="AE42" s="27"/>
      <c r="AF42" s="27"/>
      <c r="AG42" s="27"/>
      <c r="AH42" s="27"/>
      <c r="AI42" s="33"/>
      <c r="AJ42" s="33"/>
      <c r="AK42" s="33"/>
    </row>
    <row r="43" ht="13.6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7"/>
      <c r="R43" s="27"/>
      <c r="S43" s="27"/>
      <c r="T43" s="33"/>
      <c r="U43" s="33"/>
      <c r="V43" s="33"/>
      <c r="W43" s="27"/>
      <c r="X43" s="27"/>
      <c r="Y43" s="27"/>
      <c r="Z43" s="27"/>
      <c r="AA43" s="33"/>
      <c r="AB43" s="33"/>
      <c r="AC43" s="33"/>
      <c r="AD43" s="27"/>
      <c r="AE43" s="27"/>
      <c r="AF43" s="27"/>
      <c r="AG43" s="27"/>
      <c r="AH43" s="27"/>
      <c r="AI43" s="33"/>
      <c r="AJ43" s="33"/>
      <c r="AK43" s="33"/>
    </row>
    <row r="44" ht="13.6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7"/>
      <c r="R44" s="27"/>
      <c r="S44" s="27"/>
      <c r="T44" s="33"/>
      <c r="U44" s="33"/>
      <c r="V44" s="33"/>
      <c r="W44" s="27"/>
      <c r="X44" s="27"/>
      <c r="Y44" s="27"/>
      <c r="Z44" s="27"/>
      <c r="AA44" s="33"/>
      <c r="AB44" s="33"/>
      <c r="AC44" s="33"/>
      <c r="AD44" s="27"/>
      <c r="AE44" s="27"/>
      <c r="AF44" s="27"/>
      <c r="AG44" s="27"/>
      <c r="AH44" s="27"/>
      <c r="AI44" s="33"/>
      <c r="AJ44" s="33"/>
      <c r="AK44" s="33"/>
    </row>
    <row r="45" ht="13.6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7"/>
      <c r="R45" s="27"/>
      <c r="S45" s="27"/>
      <c r="T45" s="33"/>
      <c r="U45" s="33"/>
      <c r="V45" s="33"/>
      <c r="W45" s="27"/>
      <c r="X45" s="27"/>
      <c r="Y45" s="27"/>
      <c r="Z45" s="27"/>
      <c r="AA45" s="33"/>
      <c r="AB45" s="33"/>
      <c r="AC45" s="33"/>
      <c r="AD45" s="27"/>
      <c r="AE45" s="27"/>
      <c r="AF45" s="27"/>
      <c r="AG45" s="27"/>
      <c r="AH45" s="27"/>
      <c r="AI45" s="33"/>
      <c r="AJ45" s="33"/>
      <c r="AK45" s="33"/>
    </row>
    <row r="46" ht="13.6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7"/>
      <c r="R46" s="27"/>
      <c r="S46" s="27"/>
      <c r="T46" s="33"/>
      <c r="U46" s="33"/>
      <c r="V46" s="33"/>
      <c r="W46" s="27"/>
      <c r="X46" s="27"/>
      <c r="Y46" s="27"/>
      <c r="Z46" s="27"/>
      <c r="AA46" s="33"/>
      <c r="AB46" s="33"/>
      <c r="AC46" s="33"/>
      <c r="AD46" s="27"/>
      <c r="AE46" s="27"/>
      <c r="AF46" s="27"/>
      <c r="AG46" s="27"/>
      <c r="AH46" s="27"/>
      <c r="AI46" s="33"/>
      <c r="AJ46" s="33"/>
      <c r="AK46" s="33"/>
    </row>
    <row r="47" ht="13.6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7"/>
      <c r="R47" s="27"/>
      <c r="S47" s="27"/>
      <c r="T47" s="33"/>
      <c r="U47" s="33"/>
      <c r="V47" s="33"/>
      <c r="W47" s="27"/>
      <c r="X47" s="27"/>
      <c r="Y47" s="27"/>
      <c r="Z47" s="27"/>
      <c r="AA47" s="33"/>
      <c r="AB47" s="33"/>
      <c r="AC47" s="33"/>
      <c r="AD47" s="27"/>
      <c r="AE47" s="27"/>
      <c r="AF47" s="27"/>
      <c r="AG47" s="27"/>
      <c r="AH47" s="27"/>
      <c r="AI47" s="33"/>
      <c r="AJ47" s="33"/>
      <c r="AK47" s="33"/>
    </row>
    <row r="48" ht="13.6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7"/>
      <c r="R48" s="27"/>
      <c r="S48" s="27"/>
      <c r="T48" s="33"/>
      <c r="U48" s="33"/>
      <c r="V48" s="33"/>
      <c r="W48" s="27"/>
      <c r="X48" s="27"/>
      <c r="Y48" s="27"/>
      <c r="Z48" s="27"/>
      <c r="AA48" s="33"/>
      <c r="AB48" s="33"/>
      <c r="AC48" s="33"/>
      <c r="AD48" s="27"/>
      <c r="AE48" s="27"/>
      <c r="AF48" s="27"/>
      <c r="AG48" s="27"/>
      <c r="AH48" s="27"/>
      <c r="AI48" s="33"/>
      <c r="AJ48" s="33"/>
      <c r="AK48" s="33"/>
    </row>
    <row r="49" ht="13.6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7"/>
      <c r="R49" s="27"/>
      <c r="S49" s="27"/>
      <c r="T49" s="33"/>
      <c r="U49" s="33"/>
      <c r="V49" s="33"/>
      <c r="W49" s="27"/>
      <c r="X49" s="27"/>
      <c r="Y49" s="27"/>
      <c r="Z49" s="27"/>
      <c r="AA49" s="33"/>
      <c r="AB49" s="33"/>
      <c r="AC49" s="33"/>
      <c r="AD49" s="27"/>
      <c r="AE49" s="27"/>
      <c r="AF49" s="27"/>
      <c r="AG49" s="27"/>
      <c r="AH49" s="27"/>
      <c r="AI49" s="33"/>
      <c r="AJ49" s="33"/>
      <c r="AK49" s="33"/>
    </row>
    <row r="50" ht="13.6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7"/>
      <c r="R50" s="27"/>
      <c r="S50" s="27"/>
      <c r="T50" s="33"/>
      <c r="U50" s="33"/>
      <c r="V50" s="33"/>
      <c r="W50" s="27"/>
      <c r="X50" s="27"/>
      <c r="Y50" s="27"/>
      <c r="Z50" s="27"/>
      <c r="AA50" s="33"/>
      <c r="AB50" s="33"/>
      <c r="AC50" s="33"/>
      <c r="AD50" s="27"/>
      <c r="AE50" s="27"/>
      <c r="AF50" s="27"/>
      <c r="AG50" s="27"/>
      <c r="AH50" s="27"/>
      <c r="AI50" s="33"/>
      <c r="AJ50" s="33"/>
      <c r="AK50" s="33"/>
    </row>
    <row r="51" ht="13.6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7"/>
      <c r="R51" s="27"/>
      <c r="S51" s="27"/>
      <c r="T51" s="33"/>
      <c r="U51" s="33"/>
      <c r="V51" s="33"/>
      <c r="W51" s="27"/>
      <c r="X51" s="27"/>
      <c r="Y51" s="27"/>
      <c r="Z51" s="27"/>
      <c r="AA51" s="33"/>
      <c r="AB51" s="33"/>
      <c r="AC51" s="33"/>
      <c r="AD51" s="27"/>
      <c r="AE51" s="27"/>
      <c r="AF51" s="27"/>
      <c r="AG51" s="27"/>
      <c r="AH51" s="27"/>
      <c r="AI51" s="33"/>
      <c r="AJ51" s="33"/>
      <c r="AK51" s="33"/>
    </row>
    <row r="52" ht="13.6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7"/>
      <c r="R52" s="27"/>
      <c r="S52" s="27"/>
      <c r="T52" s="33"/>
      <c r="U52" s="33"/>
      <c r="V52" s="33"/>
      <c r="W52" s="27"/>
      <c r="X52" s="27"/>
      <c r="Y52" s="27"/>
      <c r="Z52" s="27"/>
      <c r="AA52" s="33"/>
      <c r="AB52" s="33"/>
      <c r="AC52" s="33"/>
      <c r="AD52" s="27"/>
      <c r="AE52" s="27"/>
      <c r="AF52" s="27"/>
      <c r="AG52" s="27"/>
      <c r="AH52" s="27"/>
      <c r="AI52" s="33"/>
      <c r="AJ52" s="33"/>
      <c r="AK52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E1000"/>
  <sheetViews>
    <sheetView workbookViewId="0" showGridLines="0" defaultGridColor="1"/>
  </sheetViews>
  <sheetFormatPr defaultColWidth="12.6667" defaultRowHeight="15.75" customHeight="1" outlineLevelRow="0" outlineLevelCol="0"/>
  <cols>
    <col min="1" max="31" width="20.1719" style="77" customWidth="1"/>
    <col min="32" max="16384" width="12.6719" style="77" customWidth="1"/>
  </cols>
  <sheetData>
    <row r="1" ht="13.65" customHeight="1">
      <c r="A1" t="s" s="3">
        <v>0</v>
      </c>
      <c r="B1" t="s" s="3">
        <v>1</v>
      </c>
      <c r="C1" t="s" s="3">
        <v>58</v>
      </c>
      <c r="D1" t="s" s="78">
        <v>4</v>
      </c>
      <c r="E1" t="s" s="79">
        <v>59</v>
      </c>
      <c r="F1" t="s" s="79">
        <v>60</v>
      </c>
      <c r="G1" t="s" s="79">
        <v>61</v>
      </c>
      <c r="H1" t="s" s="80">
        <v>62</v>
      </c>
      <c r="I1" t="s" s="78">
        <v>15</v>
      </c>
      <c r="J1" t="s" s="79">
        <v>63</v>
      </c>
      <c r="K1" t="s" s="79">
        <v>64</v>
      </c>
      <c r="L1" t="s" s="79">
        <v>65</v>
      </c>
      <c r="M1" t="s" s="79">
        <v>66</v>
      </c>
      <c r="N1" t="s" s="80">
        <v>67</v>
      </c>
      <c r="O1" t="s" s="3">
        <v>21</v>
      </c>
      <c r="P1" t="s" s="3">
        <v>68</v>
      </c>
      <c r="Q1" t="s" s="3">
        <v>69</v>
      </c>
      <c r="R1" t="s" s="3">
        <v>70</v>
      </c>
      <c r="S1" t="s" s="3">
        <v>28</v>
      </c>
      <c r="T1" t="s" s="3">
        <v>71</v>
      </c>
      <c r="U1" t="s" s="3">
        <v>72</v>
      </c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ht="13.65" customHeight="1">
      <c r="A2" t="s" s="3">
        <v>35</v>
      </c>
      <c r="B2" s="26">
        <v>19</v>
      </c>
      <c r="C2" s="27">
        <v>6.20102407728e-05</v>
      </c>
      <c r="D2" s="27">
        <v>1e-06</v>
      </c>
      <c r="E2" s="69"/>
      <c r="F2" s="69"/>
      <c r="G2" s="69"/>
      <c r="H2" s="26">
        <v>0.0002084330266438</v>
      </c>
      <c r="I2" s="27">
        <v>1e-06</v>
      </c>
      <c r="J2" s="69"/>
      <c r="K2" s="69"/>
      <c r="L2" s="69"/>
      <c r="M2" s="69"/>
      <c r="N2" s="27">
        <v>0.110980193093805</v>
      </c>
      <c r="O2" s="27">
        <v>1e-06</v>
      </c>
      <c r="P2" s="27"/>
      <c r="Q2" s="27"/>
      <c r="R2" s="27">
        <v>0.266332341250843</v>
      </c>
      <c r="S2" s="27">
        <v>1e-06</v>
      </c>
      <c r="T2" s="27"/>
      <c r="U2" s="27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ht="13.65" customHeight="1">
      <c r="A3" t="s" s="2">
        <v>36</v>
      </c>
      <c r="B3" s="34">
        <v>13</v>
      </c>
      <c r="C3" s="34">
        <v>0.0001046198064023</v>
      </c>
      <c r="D3" s="4">
        <v>1e-06</v>
      </c>
      <c r="E3" s="4"/>
      <c r="F3" s="4"/>
      <c r="G3" s="4"/>
      <c r="H3" s="4">
        <v>3.5415890248e-05</v>
      </c>
      <c r="I3" s="4">
        <v>1e-06</v>
      </c>
      <c r="J3" s="4"/>
      <c r="K3" s="4"/>
      <c r="L3" s="4"/>
      <c r="M3" s="4"/>
      <c r="N3" s="4">
        <v>0.112741982661497</v>
      </c>
      <c r="O3" s="4">
        <v>1e-06</v>
      </c>
      <c r="P3" s="4"/>
      <c r="Q3" s="4"/>
      <c r="R3" s="4">
        <v>0.246415149906249</v>
      </c>
      <c r="S3" s="4">
        <v>1e-06</v>
      </c>
      <c r="T3" s="4"/>
      <c r="U3" s="4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 ht="13.65" customHeight="1">
      <c r="A4" t="s" s="41">
        <v>37</v>
      </c>
      <c r="B4" s="20">
        <v>16</v>
      </c>
      <c r="C4" s="23">
        <v>8.045090759590351e-05</v>
      </c>
      <c r="D4" s="20">
        <v>0.00188340647940363</v>
      </c>
      <c r="E4" s="42" cm="1">
        <f t="array" ref="E4">(C4-D4*0.0385)</f>
        <v>7.93975813886375e-06</v>
      </c>
      <c r="F4" s="23" cm="1">
        <f t="array" ref="F4">(C4+D4*0.07)</f>
        <v>0.000212289361154158</v>
      </c>
      <c r="G4" s="42" cm="1">
        <f t="array" ref="G4">(C4+D4*0.001)</f>
        <v>8.23343140753071e-05</v>
      </c>
      <c r="H4" s="23">
        <v>0.000133554268339266</v>
      </c>
      <c r="I4" s="23">
        <v>0.00188340779727582</v>
      </c>
      <c r="J4" s="23" cm="1">
        <f t="array" ref="J4">(H4-I4*0.045)</f>
        <v>4.88009174618541e-05</v>
      </c>
      <c r="K4" s="81" cm="1">
        <f t="array" ref="K4">(H4-I4*0.0475)</f>
        <v>4.40923979686646e-05</v>
      </c>
      <c r="L4" s="82" cm="1">
        <f t="array" ref="L4">(H4-I4*0.0575)</f>
        <v>2.52583199959064e-05</v>
      </c>
      <c r="M4" s="42" cm="1">
        <f t="array" ref="M4">(H4+I4*0.65)</f>
        <v>0.00135776933656855</v>
      </c>
      <c r="N4" s="23">
        <v>0.111742664457466</v>
      </c>
      <c r="O4" s="23">
        <v>0.00188355185957138</v>
      </c>
      <c r="P4" s="42" cm="1">
        <f t="array" ref="P4">(N4-O4*10)</f>
        <v>0.09290714586175219</v>
      </c>
      <c r="Q4" s="42" cm="1">
        <f t="array" ref="Q4">(N4+O4*20)</f>
        <v>0.149413701648894</v>
      </c>
      <c r="R4" s="23">
        <v>0.25771255951529</v>
      </c>
      <c r="S4" s="23">
        <v>0.00190190676693833</v>
      </c>
      <c r="T4" s="42" cm="1">
        <f t="array" ref="T4">(R4-S4*100)</f>
        <v>0.067521882821457</v>
      </c>
      <c r="U4" s="42" cm="1">
        <f t="array" ref="U4">(R4+S4*10)</f>
        <v>0.276731627184673</v>
      </c>
      <c r="V4" s="44"/>
      <c r="W4" s="44"/>
      <c r="X4" s="44"/>
      <c r="Y4" s="44"/>
      <c r="Z4" s="44"/>
      <c r="AA4" s="44"/>
      <c r="AB4" s="44"/>
      <c r="AC4" s="44"/>
      <c r="AD4" s="44"/>
      <c r="AE4" s="45"/>
    </row>
    <row r="5" ht="13.65" customHeight="1">
      <c r="A5" t="s" s="50">
        <v>38</v>
      </c>
      <c r="B5" s="20">
        <v>10</v>
      </c>
      <c r="C5" s="23">
        <v>8.0986843168699e-05</v>
      </c>
      <c r="D5" s="20">
        <v>0.00141406384253821</v>
      </c>
      <c r="E5" s="53" cm="1">
        <f t="array" ref="E5">(C5-D5*0.0385)</f>
        <v>2.65453852309779e-05</v>
      </c>
      <c r="F5" s="23" cm="1">
        <f t="array" ref="F5">(C5+D5*0.07)</f>
        <v>0.000179971312146374</v>
      </c>
      <c r="G5" s="53" cm="1">
        <f t="array" ref="G5">(C5+D5*0.001)</f>
        <v>8.24009070112372e-05</v>
      </c>
      <c r="H5" s="23">
        <v>0.000131378089424709</v>
      </c>
      <c r="I5" s="23">
        <v>0.00141406384826922</v>
      </c>
      <c r="J5" s="23" cm="1">
        <f t="array" ref="J5">(H5-I5*0.045)</f>
        <v>6.77452162525941e-05</v>
      </c>
      <c r="K5" s="81" cm="1">
        <f t="array" ref="K5">(H5-I5*0.0475)</f>
        <v>6.42100566319211e-05</v>
      </c>
      <c r="L5" s="83" cm="1">
        <f t="array" ref="L5">(H5-I5*0.0575)</f>
        <v>5.00694181492289e-05</v>
      </c>
      <c r="M5" s="53" cm="1">
        <f t="array" ref="M5">(H5+I5*0.65)</f>
        <v>0.0010505195907997</v>
      </c>
      <c r="N5" s="23">
        <v>0.111764823939575</v>
      </c>
      <c r="O5" s="23">
        <v>0.00141406447460188</v>
      </c>
      <c r="P5" s="53" cm="1">
        <f t="array" ref="P5">(N5-O5*10)</f>
        <v>0.0976241791935562</v>
      </c>
      <c r="Q5" s="53" cm="1">
        <f t="array" ref="Q5">(N5+O5*20)</f>
        <v>0.140046113431613</v>
      </c>
      <c r="R5" s="23">
        <v>0.25746203814746</v>
      </c>
      <c r="S5" s="23">
        <v>0.00141414191434977</v>
      </c>
      <c r="T5" s="53" cm="1">
        <f t="array" ref="T5">(R5-S5*100)</f>
        <v>0.116047846712483</v>
      </c>
      <c r="U5" s="53" cm="1">
        <f t="array" ref="U5">(R5+S5*10)</f>
        <v>0.271603457290958</v>
      </c>
      <c r="V5" s="44"/>
      <c r="W5" s="44"/>
      <c r="X5" s="44"/>
      <c r="Y5" s="44"/>
      <c r="Z5" s="44"/>
      <c r="AA5" s="44"/>
      <c r="AB5" s="44"/>
      <c r="AC5" s="44"/>
      <c r="AD5" s="44"/>
      <c r="AE5" s="45"/>
    </row>
    <row r="6" ht="13.65" customHeight="1">
      <c r="A6" t="s" s="84">
        <v>39</v>
      </c>
      <c r="B6" s="20">
        <v>7</v>
      </c>
      <c r="C6" s="23">
        <v>7.8371253848654e-05</v>
      </c>
      <c r="D6" s="20">
        <v>0.00167950664953044</v>
      </c>
      <c r="E6" s="75" cm="1">
        <f t="array" ref="E6">(C6-D6*0.0385)</f>
        <v>1.37102478417321e-05</v>
      </c>
      <c r="F6" s="23" cm="1">
        <f t="array" ref="F6">(C6+D6*0.07)</f>
        <v>0.000195936719315785</v>
      </c>
      <c r="G6" s="75" cm="1">
        <f t="array" ref="G6">(C6+D6*0.001)</f>
        <v>8.00507604981844e-05</v>
      </c>
      <c r="H6" s="23">
        <v>0.000141998750954926</v>
      </c>
      <c r="I6" s="23">
        <v>0.0016795068005619</v>
      </c>
      <c r="J6" s="23" cm="1">
        <f t="array" ref="J6">(H6-I6*0.045)</f>
        <v>6.642094492964051e-05</v>
      </c>
      <c r="K6" s="85" cm="1">
        <f t="array" ref="K6">(H6-I6*0.0475)</f>
        <v>6.22221779282358e-05</v>
      </c>
      <c r="L6" s="81" cm="1">
        <f t="array" ref="L6">(H6-I6*0.0575)</f>
        <v>4.54271099226168e-05</v>
      </c>
      <c r="M6" s="75" cm="1">
        <f t="array" ref="M6">(H6+I6*0.65)</f>
        <v>0.00123367817132016</v>
      </c>
      <c r="N6" s="23">
        <v>0.111656676430623</v>
      </c>
      <c r="O6" s="23">
        <v>0.00167952331090465</v>
      </c>
      <c r="P6" s="75" cm="1">
        <f t="array" ref="P6">(N6-O6*10)</f>
        <v>0.09486144332157651</v>
      </c>
      <c r="Q6" s="75" cm="1">
        <f t="array" ref="Q6">(N6+O6*20)</f>
        <v>0.145247142648716</v>
      </c>
      <c r="R6" s="23">
        <v>0.258684668661771</v>
      </c>
      <c r="S6" s="23">
        <v>0.00168163404690205</v>
      </c>
      <c r="T6" s="75" cm="1">
        <f t="array" ref="T6">(R6-S6*100)</f>
        <v>0.090521263971566</v>
      </c>
      <c r="U6" s="75" cm="1">
        <f t="array" ref="U6">(R6+S6*10)</f>
        <v>0.275501009130792</v>
      </c>
      <c r="V6" s="44"/>
      <c r="W6" s="44"/>
      <c r="X6" s="44"/>
      <c r="Y6" s="44"/>
      <c r="Z6" s="44"/>
      <c r="AA6" s="44"/>
      <c r="AB6" s="44"/>
      <c r="AC6" s="44"/>
      <c r="AD6" s="44"/>
      <c r="AE6" s="45"/>
    </row>
    <row r="7" ht="13.65" customHeight="1">
      <c r="A7" t="s" s="46">
        <v>40</v>
      </c>
      <c r="B7" s="20">
        <v>28</v>
      </c>
      <c r="C7" s="23">
        <v>9.58726856236174e-05</v>
      </c>
      <c r="D7" s="20">
        <v>0.00155969157187229</v>
      </c>
      <c r="E7" s="23" cm="1">
        <f t="array" ref="E7">(C7-D7*0.0385)</f>
        <v>3.58245601065342e-05</v>
      </c>
      <c r="F7" s="23" cm="1">
        <f t="array" ref="F7">(C7+D7*0.07)</f>
        <v>0.000205051095654678</v>
      </c>
      <c r="G7" s="23" cm="1">
        <f t="array" ref="G7">(C7+D7*0.001)</f>
        <v>9.74323771954897e-05</v>
      </c>
      <c r="H7" s="23">
        <v>7.09337784260186e-05</v>
      </c>
      <c r="I7" s="23">
        <v>0.00155969158878876</v>
      </c>
      <c r="J7" s="23" cm="1">
        <f t="array" ref="J7">(H7-I7*0.045)</f>
        <v>7.476569305244e-07</v>
      </c>
      <c r="K7" s="86" cm="1">
        <f t="array" ref="K7">(H7-I7*0.0475)</f>
        <v>-3.1515720414475e-06</v>
      </c>
      <c r="L7" s="86" cm="1">
        <f t="array" ref="L7">(H7-I7*0.0575)</f>
        <v>-1.87484879293351e-05</v>
      </c>
      <c r="M7" s="23" cm="1">
        <f t="array" ref="M7">(H7+I7*0.65)</f>
        <v>0.00108473331113871</v>
      </c>
      <c r="N7" s="23">
        <v>0.112380313063833</v>
      </c>
      <c r="O7" s="23">
        <v>0.00155969343791504</v>
      </c>
      <c r="P7" s="23" cm="1">
        <f t="array" ref="P7">(N7-O7*10)</f>
        <v>0.09678337868468261</v>
      </c>
      <c r="Q7" s="23" cm="1">
        <f t="array" ref="Q7">(N7+O7*20)</f>
        <v>0.143574181822134</v>
      </c>
      <c r="R7" s="23">
        <v>0.250503801627815</v>
      </c>
      <c r="S7" s="23">
        <v>0.00155992764714613</v>
      </c>
      <c r="T7" s="23" cm="1">
        <f t="array" ref="T7">(R7-S7*100)</f>
        <v>0.09451103691320201</v>
      </c>
      <c r="U7" s="23" cm="1">
        <f t="array" ref="U7">(R7+S7*10)</f>
        <v>0.266103078099276</v>
      </c>
      <c r="V7" s="44"/>
      <c r="W7" s="44"/>
      <c r="X7" s="44"/>
      <c r="Y7" s="44"/>
      <c r="Z7" s="44"/>
      <c r="AA7" s="44"/>
      <c r="AB7" s="44"/>
      <c r="AC7" s="44"/>
      <c r="AD7" s="44"/>
      <c r="AE7" s="45"/>
    </row>
    <row r="8" ht="13.65" customHeight="1">
      <c r="A8" s="25"/>
      <c r="B8" s="25"/>
      <c r="C8" s="25"/>
      <c r="D8" s="25"/>
      <c r="E8" s="87"/>
      <c r="F8" s="87"/>
      <c r="G8" s="25"/>
      <c r="H8" s="25"/>
      <c r="I8" s="25"/>
      <c r="J8" s="87"/>
      <c r="K8" s="25"/>
      <c r="L8" s="25"/>
      <c r="M8" s="87"/>
      <c r="N8" s="69"/>
      <c r="O8" s="69"/>
      <c r="P8" s="88"/>
      <c r="Q8" s="88"/>
      <c r="R8" s="69"/>
      <c r="S8" s="69"/>
      <c r="T8" s="88"/>
      <c r="U8" s="88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ht="13.65" customHeight="1">
      <c r="A9" t="s" s="3">
        <v>73</v>
      </c>
      <c r="B9" s="33"/>
      <c r="C9" s="33"/>
      <c r="D9" s="70"/>
      <c r="E9" s="89"/>
      <c r="F9" s="89"/>
      <c r="G9" s="39"/>
      <c r="H9" s="33"/>
      <c r="I9" s="70"/>
      <c r="J9" s="89"/>
      <c r="K9" s="39"/>
      <c r="L9" s="70"/>
      <c r="M9" s="89"/>
      <c r="N9" s="68"/>
      <c r="O9" s="28"/>
      <c r="P9" s="89"/>
      <c r="Q9" s="89"/>
      <c r="R9" s="68"/>
      <c r="S9" s="28"/>
      <c r="T9" s="89"/>
      <c r="U9" s="89"/>
      <c r="V9" s="32"/>
      <c r="W9" s="33"/>
      <c r="X9" s="33"/>
      <c r="Y9" s="33"/>
      <c r="Z9" s="33"/>
      <c r="AA9" s="33"/>
      <c r="AB9" s="33"/>
      <c r="AC9" s="33"/>
      <c r="AD9" s="33"/>
      <c r="AE9" s="33"/>
    </row>
    <row r="10" ht="13.65" customHeight="1">
      <c r="A10" t="s" s="3">
        <v>74</v>
      </c>
      <c r="B10" s="33"/>
      <c r="C10" s="33"/>
      <c r="D10" s="70"/>
      <c r="E10" s="89"/>
      <c r="F10" s="74"/>
      <c r="G10" s="89"/>
      <c r="H10" s="32"/>
      <c r="I10" s="33"/>
      <c r="J10" s="90"/>
      <c r="K10" s="89"/>
      <c r="L10" s="91"/>
      <c r="M10" s="89"/>
      <c r="N10" s="68"/>
      <c r="O10" s="28"/>
      <c r="P10" s="89"/>
      <c r="Q10" s="89"/>
      <c r="R10" s="68"/>
      <c r="S10" s="28"/>
      <c r="T10" s="89"/>
      <c r="U10" s="89"/>
      <c r="V10" s="32"/>
      <c r="W10" s="33"/>
      <c r="X10" s="33"/>
      <c r="Y10" s="33"/>
      <c r="Z10" s="33"/>
      <c r="AA10" s="33"/>
      <c r="AB10" s="33"/>
      <c r="AC10" s="33"/>
      <c r="AD10" s="33"/>
      <c r="AE10" s="33"/>
    </row>
    <row r="11" ht="13.65" customHeight="1">
      <c r="A11" t="s" s="3">
        <v>75</v>
      </c>
      <c r="B11" s="33"/>
      <c r="C11" s="33"/>
      <c r="D11" s="70"/>
      <c r="E11" s="89"/>
      <c r="F11" s="76"/>
      <c r="G11" s="89"/>
      <c r="H11" s="32"/>
      <c r="I11" s="33"/>
      <c r="J11" s="33"/>
      <c r="K11" s="90"/>
      <c r="L11" s="89"/>
      <c r="M11" s="89"/>
      <c r="N11" s="68"/>
      <c r="O11" s="28"/>
      <c r="P11" s="89"/>
      <c r="Q11" s="89"/>
      <c r="R11" s="68"/>
      <c r="S11" s="28"/>
      <c r="T11" s="89"/>
      <c r="U11" s="89"/>
      <c r="V11" s="32"/>
      <c r="W11" s="33"/>
      <c r="X11" s="33"/>
      <c r="Y11" s="33"/>
      <c r="Z11" s="33"/>
      <c r="AA11" s="33"/>
      <c r="AB11" s="33"/>
      <c r="AC11" s="33"/>
      <c r="AD11" s="33"/>
      <c r="AE11" s="33"/>
    </row>
    <row r="12" ht="13.65" customHeight="1">
      <c r="A12" s="33"/>
      <c r="B12" s="33"/>
      <c r="C12" s="33"/>
      <c r="D12" s="33"/>
      <c r="E12" s="25"/>
      <c r="F12" s="33"/>
      <c r="G12" s="25"/>
      <c r="H12" s="33"/>
      <c r="I12" s="33"/>
      <c r="J12" s="33"/>
      <c r="K12" s="33"/>
      <c r="L12" s="25"/>
      <c r="M12" s="25"/>
      <c r="N12" s="27"/>
      <c r="O12" s="27"/>
      <c r="P12" s="69"/>
      <c r="Q12" s="69"/>
      <c r="R12" s="27"/>
      <c r="S12" s="27"/>
      <c r="T12" s="69"/>
      <c r="U12" s="69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ht="13.6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27"/>
      <c r="O13" s="27"/>
      <c r="P13" s="27"/>
      <c r="Q13" s="27"/>
      <c r="R13" s="27"/>
      <c r="S13" s="27"/>
      <c r="T13" s="27"/>
      <c r="U13" s="27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ht="13.6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7"/>
      <c r="O14" s="27"/>
      <c r="P14" s="27"/>
      <c r="Q14" s="27"/>
      <c r="R14" s="27"/>
      <c r="S14" s="27"/>
      <c r="T14" s="27"/>
      <c r="U14" s="27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ht="13.6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27"/>
      <c r="O15" s="27"/>
      <c r="P15" s="27"/>
      <c r="Q15" s="27"/>
      <c r="R15" s="27"/>
      <c r="S15" s="27"/>
      <c r="T15" s="27"/>
      <c r="U15" s="27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 ht="13.6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7"/>
      <c r="O16" s="27"/>
      <c r="P16" s="27"/>
      <c r="Q16" s="27"/>
      <c r="R16" s="27"/>
      <c r="S16" s="27"/>
      <c r="T16" s="27"/>
      <c r="U16" s="27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 ht="13.6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27"/>
      <c r="O17" s="27"/>
      <c r="P17" s="27"/>
      <c r="Q17" s="27"/>
      <c r="R17" s="27"/>
      <c r="S17" s="27"/>
      <c r="T17" s="27"/>
      <c r="U17" s="27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ht="13.6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27"/>
      <c r="O18" s="27"/>
      <c r="P18" s="27"/>
      <c r="Q18" s="27"/>
      <c r="R18" s="27"/>
      <c r="S18" s="27"/>
      <c r="T18" s="27"/>
      <c r="U18" s="27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ht="13.6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27"/>
      <c r="O19" s="27"/>
      <c r="P19" s="27"/>
      <c r="Q19" s="27"/>
      <c r="R19" s="27"/>
      <c r="S19" s="27"/>
      <c r="T19" s="27"/>
      <c r="U19" s="27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ht="13.6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27"/>
      <c r="O20" s="27"/>
      <c r="P20" s="27"/>
      <c r="Q20" s="27"/>
      <c r="R20" s="27"/>
      <c r="S20" s="27"/>
      <c r="T20" s="27"/>
      <c r="U20" s="27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 ht="13.6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27"/>
      <c r="O21" s="27"/>
      <c r="P21" s="27"/>
      <c r="Q21" s="27"/>
      <c r="R21" s="27"/>
      <c r="S21" s="27"/>
      <c r="T21" s="27"/>
      <c r="U21" s="27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ht="13.6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27"/>
      <c r="O22" s="27"/>
      <c r="P22" s="27"/>
      <c r="Q22" s="27"/>
      <c r="R22" s="27"/>
      <c r="S22" s="27"/>
      <c r="T22" s="27"/>
      <c r="U22" s="27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ht="13.6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27"/>
      <c r="O23" s="27"/>
      <c r="P23" s="27"/>
      <c r="Q23" s="27"/>
      <c r="R23" s="27"/>
      <c r="S23" s="27"/>
      <c r="T23" s="27"/>
      <c r="U23" s="27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ht="13.6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27"/>
      <c r="O24" s="27"/>
      <c r="P24" s="27"/>
      <c r="Q24" s="27"/>
      <c r="R24" s="27"/>
      <c r="S24" s="27"/>
      <c r="T24" s="27"/>
      <c r="U24" s="27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 ht="13.6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27"/>
      <c r="O25" s="27"/>
      <c r="P25" s="27"/>
      <c r="Q25" s="27"/>
      <c r="R25" s="27"/>
      <c r="S25" s="27"/>
      <c r="T25" s="27"/>
      <c r="U25" s="27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ht="13.6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27"/>
      <c r="O26" s="27"/>
      <c r="P26" s="27"/>
      <c r="Q26" s="27"/>
      <c r="R26" s="27"/>
      <c r="S26" s="27"/>
      <c r="T26" s="27"/>
      <c r="U26" s="27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ht="13.6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27"/>
      <c r="O27" s="27"/>
      <c r="P27" s="27"/>
      <c r="Q27" s="27"/>
      <c r="R27" s="27"/>
      <c r="S27" s="27"/>
      <c r="T27" s="27"/>
      <c r="U27" s="27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ht="13.6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27"/>
      <c r="O28" s="27"/>
      <c r="P28" s="27"/>
      <c r="Q28" s="27"/>
      <c r="R28" s="27"/>
      <c r="S28" s="27"/>
      <c r="T28" s="27"/>
      <c r="U28" s="27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ht="13.6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27"/>
      <c r="O29" s="27"/>
      <c r="P29" s="27"/>
      <c r="Q29" s="27"/>
      <c r="R29" s="27"/>
      <c r="S29" s="27"/>
      <c r="T29" s="27"/>
      <c r="U29" s="27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3.6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27"/>
      <c r="O30" s="27"/>
      <c r="P30" s="27"/>
      <c r="Q30" s="27"/>
      <c r="R30" s="27"/>
      <c r="S30" s="27"/>
      <c r="T30" s="27"/>
      <c r="U30" s="27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ht="13.6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27"/>
      <c r="O31" s="27"/>
      <c r="P31" s="27"/>
      <c r="Q31" s="27"/>
      <c r="R31" s="27"/>
      <c r="S31" s="27"/>
      <c r="T31" s="27"/>
      <c r="U31" s="27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ht="13.6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27"/>
      <c r="O32" s="27"/>
      <c r="P32" s="27"/>
      <c r="Q32" s="27"/>
      <c r="R32" s="27"/>
      <c r="S32" s="27"/>
      <c r="T32" s="27"/>
      <c r="U32" s="27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ht="13.6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27"/>
      <c r="O33" s="27"/>
      <c r="P33" s="27"/>
      <c r="Q33" s="27"/>
      <c r="R33" s="27"/>
      <c r="S33" s="27"/>
      <c r="T33" s="27"/>
      <c r="U33" s="27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ht="13.6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27"/>
      <c r="O34" s="27"/>
      <c r="P34" s="27"/>
      <c r="Q34" s="27"/>
      <c r="R34" s="27"/>
      <c r="S34" s="27"/>
      <c r="T34" s="27"/>
      <c r="U34" s="27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ht="13.6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27"/>
      <c r="O35" s="27"/>
      <c r="P35" s="27"/>
      <c r="Q35" s="27"/>
      <c r="R35" s="27"/>
      <c r="S35" s="27"/>
      <c r="T35" s="27"/>
      <c r="U35" s="27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ht="13.6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27"/>
      <c r="O36" s="27"/>
      <c r="P36" s="27"/>
      <c r="Q36" s="27"/>
      <c r="R36" s="27"/>
      <c r="S36" s="27"/>
      <c r="T36" s="27"/>
      <c r="U36" s="27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ht="13.6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27"/>
      <c r="O37" s="27"/>
      <c r="P37" s="27"/>
      <c r="Q37" s="27"/>
      <c r="R37" s="27"/>
      <c r="S37" s="27"/>
      <c r="T37" s="27"/>
      <c r="U37" s="27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ht="13.6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27"/>
      <c r="O38" s="27"/>
      <c r="P38" s="27"/>
      <c r="Q38" s="27"/>
      <c r="R38" s="27"/>
      <c r="S38" s="27"/>
      <c r="T38" s="27"/>
      <c r="U38" s="27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ht="13.6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27"/>
      <c r="Q39" s="27"/>
      <c r="R39" s="27"/>
      <c r="S39" s="27"/>
      <c r="T39" s="27"/>
      <c r="U39" s="27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ht="13.6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27"/>
      <c r="O40" s="27"/>
      <c r="P40" s="27"/>
      <c r="Q40" s="27"/>
      <c r="R40" s="27"/>
      <c r="S40" s="27"/>
      <c r="T40" s="27"/>
      <c r="U40" s="27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ht="13.6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27"/>
      <c r="O41" s="27"/>
      <c r="P41" s="27"/>
      <c r="Q41" s="27"/>
      <c r="R41" s="27"/>
      <c r="S41" s="27"/>
      <c r="T41" s="27"/>
      <c r="U41" s="27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ht="13.6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27"/>
      <c r="O42" s="27"/>
      <c r="P42" s="27"/>
      <c r="Q42" s="27"/>
      <c r="R42" s="27"/>
      <c r="S42" s="27"/>
      <c r="T42" s="27"/>
      <c r="U42" s="27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ht="13.6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27"/>
      <c r="O43" s="27"/>
      <c r="P43" s="27"/>
      <c r="Q43" s="27"/>
      <c r="R43" s="27"/>
      <c r="S43" s="27"/>
      <c r="T43" s="27"/>
      <c r="U43" s="27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ht="13.6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27"/>
      <c r="O44" s="27"/>
      <c r="P44" s="27"/>
      <c r="Q44" s="27"/>
      <c r="R44" s="27"/>
      <c r="S44" s="27"/>
      <c r="T44" s="27"/>
      <c r="U44" s="27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ht="13.6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27"/>
      <c r="O45" s="27"/>
      <c r="P45" s="27"/>
      <c r="Q45" s="27"/>
      <c r="R45" s="27"/>
      <c r="S45" s="27"/>
      <c r="T45" s="27"/>
      <c r="U45" s="27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 ht="13.6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27"/>
      <c r="O46" s="27"/>
      <c r="P46" s="27"/>
      <c r="Q46" s="27"/>
      <c r="R46" s="27"/>
      <c r="S46" s="27"/>
      <c r="T46" s="27"/>
      <c r="U46" s="27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ht="13.6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27"/>
      <c r="O47" s="27"/>
      <c r="P47" s="27"/>
      <c r="Q47" s="27"/>
      <c r="R47" s="27"/>
      <c r="S47" s="27"/>
      <c r="T47" s="27"/>
      <c r="U47" s="27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ht="13.6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27"/>
      <c r="O48" s="27"/>
      <c r="P48" s="27"/>
      <c r="Q48" s="27"/>
      <c r="R48" s="27"/>
      <c r="S48" s="27"/>
      <c r="T48" s="27"/>
      <c r="U48" s="27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ht="13.6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27"/>
      <c r="O49" s="27"/>
      <c r="P49" s="27"/>
      <c r="Q49" s="27"/>
      <c r="R49" s="27"/>
      <c r="S49" s="27"/>
      <c r="T49" s="27"/>
      <c r="U49" s="27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ht="13.6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27"/>
      <c r="O50" s="27"/>
      <c r="P50" s="27"/>
      <c r="Q50" s="27"/>
      <c r="R50" s="27"/>
      <c r="S50" s="27"/>
      <c r="T50" s="27"/>
      <c r="U50" s="27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ht="13.6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27"/>
      <c r="O51" s="27"/>
      <c r="P51" s="27"/>
      <c r="Q51" s="27"/>
      <c r="R51" s="27"/>
      <c r="S51" s="27"/>
      <c r="T51" s="27"/>
      <c r="U51" s="27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ht="13.6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27"/>
      <c r="O52" s="27"/>
      <c r="P52" s="27"/>
      <c r="Q52" s="27"/>
      <c r="R52" s="27"/>
      <c r="S52" s="27"/>
      <c r="T52" s="27"/>
      <c r="U52" s="27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 ht="13.6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27"/>
      <c r="O53" s="27"/>
      <c r="P53" s="27"/>
      <c r="Q53" s="27"/>
      <c r="R53" s="27"/>
      <c r="S53" s="27"/>
      <c r="T53" s="27"/>
      <c r="U53" s="27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 ht="13.6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27"/>
      <c r="O54" s="27"/>
      <c r="P54" s="27"/>
      <c r="Q54" s="27"/>
      <c r="R54" s="27"/>
      <c r="S54" s="27"/>
      <c r="T54" s="27"/>
      <c r="U54" s="27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ht="13.6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27"/>
      <c r="O55" s="27"/>
      <c r="P55" s="27"/>
      <c r="Q55" s="27"/>
      <c r="R55" s="27"/>
      <c r="S55" s="27"/>
      <c r="T55" s="27"/>
      <c r="U55" s="27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ht="13.6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27"/>
      <c r="O56" s="27"/>
      <c r="P56" s="27"/>
      <c r="Q56" s="27"/>
      <c r="R56" s="27"/>
      <c r="S56" s="27"/>
      <c r="T56" s="27"/>
      <c r="U56" s="27"/>
      <c r="V56" s="33"/>
      <c r="W56" s="33"/>
      <c r="X56" s="33"/>
      <c r="Y56" s="33"/>
      <c r="Z56" s="33"/>
      <c r="AA56" s="33"/>
      <c r="AB56" s="33"/>
      <c r="AC56" s="33"/>
      <c r="AD56" s="33"/>
      <c r="AE56" s="33"/>
    </row>
    <row r="57" ht="13.6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27"/>
      <c r="O57" s="27"/>
      <c r="P57" s="27"/>
      <c r="Q57" s="27"/>
      <c r="R57" s="27"/>
      <c r="S57" s="27"/>
      <c r="T57" s="27"/>
      <c r="U57" s="27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 ht="13.6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27"/>
      <c r="O58" s="27"/>
      <c r="P58" s="27"/>
      <c r="Q58" s="27"/>
      <c r="R58" s="27"/>
      <c r="S58" s="27"/>
      <c r="T58" s="27"/>
      <c r="U58" s="27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 ht="13.6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27"/>
      <c r="O59" s="27"/>
      <c r="P59" s="27"/>
      <c r="Q59" s="27"/>
      <c r="R59" s="27"/>
      <c r="S59" s="27"/>
      <c r="T59" s="27"/>
      <c r="U59" s="27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ht="13.6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7"/>
      <c r="O60" s="27"/>
      <c r="P60" s="27"/>
      <c r="Q60" s="27"/>
      <c r="R60" s="27"/>
      <c r="S60" s="27"/>
      <c r="T60" s="27"/>
      <c r="U60" s="27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 ht="13.6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27"/>
      <c r="O61" s="27"/>
      <c r="P61" s="27"/>
      <c r="Q61" s="27"/>
      <c r="R61" s="27"/>
      <c r="S61" s="27"/>
      <c r="T61" s="27"/>
      <c r="U61" s="27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ht="13.6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27"/>
      <c r="O62" s="27"/>
      <c r="P62" s="27"/>
      <c r="Q62" s="27"/>
      <c r="R62" s="27"/>
      <c r="S62" s="27"/>
      <c r="T62" s="27"/>
      <c r="U62" s="27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 ht="13.6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7"/>
      <c r="O63" s="27"/>
      <c r="P63" s="27"/>
      <c r="Q63" s="27"/>
      <c r="R63" s="27"/>
      <c r="S63" s="27"/>
      <c r="T63" s="27"/>
      <c r="U63" s="27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 ht="13.6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27"/>
      <c r="O64" s="27"/>
      <c r="P64" s="27"/>
      <c r="Q64" s="27"/>
      <c r="R64" s="27"/>
      <c r="S64" s="27"/>
      <c r="T64" s="27"/>
      <c r="U64" s="27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  <row r="65" ht="13.6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27"/>
      <c r="O65" s="27"/>
      <c r="P65" s="27"/>
      <c r="Q65" s="27"/>
      <c r="R65" s="27"/>
      <c r="S65" s="27"/>
      <c r="T65" s="27"/>
      <c r="U65" s="27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 ht="13.6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27"/>
      <c r="O66" s="27"/>
      <c r="P66" s="27"/>
      <c r="Q66" s="27"/>
      <c r="R66" s="27"/>
      <c r="S66" s="27"/>
      <c r="T66" s="27"/>
      <c r="U66" s="27"/>
      <c r="V66" s="33"/>
      <c r="W66" s="33"/>
      <c r="X66" s="33"/>
      <c r="Y66" s="33"/>
      <c r="Z66" s="33"/>
      <c r="AA66" s="33"/>
      <c r="AB66" s="33"/>
      <c r="AC66" s="33"/>
      <c r="AD66" s="33"/>
      <c r="AE66" s="33"/>
    </row>
    <row r="67" ht="13.6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7"/>
      <c r="O67" s="27"/>
      <c r="P67" s="27"/>
      <c r="Q67" s="27"/>
      <c r="R67" s="27"/>
      <c r="S67" s="27"/>
      <c r="T67" s="27"/>
      <c r="U67" s="27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 ht="13.6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27"/>
      <c r="O68" s="27"/>
      <c r="P68" s="27"/>
      <c r="Q68" s="27"/>
      <c r="R68" s="27"/>
      <c r="S68" s="27"/>
      <c r="T68" s="27"/>
      <c r="U68" s="27"/>
      <c r="V68" s="33"/>
      <c r="W68" s="33"/>
      <c r="X68" s="33"/>
      <c r="Y68" s="33"/>
      <c r="Z68" s="33"/>
      <c r="AA68" s="33"/>
      <c r="AB68" s="33"/>
      <c r="AC68" s="33"/>
      <c r="AD68" s="33"/>
      <c r="AE68" s="33"/>
    </row>
    <row r="69" ht="13.6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27"/>
      <c r="O69" s="27"/>
      <c r="P69" s="27"/>
      <c r="Q69" s="27"/>
      <c r="R69" s="27"/>
      <c r="S69" s="27"/>
      <c r="T69" s="27"/>
      <c r="U69" s="27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ht="13.6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27"/>
      <c r="O70" s="27"/>
      <c r="P70" s="27"/>
      <c r="Q70" s="27"/>
      <c r="R70" s="27"/>
      <c r="S70" s="27"/>
      <c r="T70" s="27"/>
      <c r="U70" s="27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 ht="13.6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27"/>
      <c r="O71" s="27"/>
      <c r="P71" s="27"/>
      <c r="Q71" s="27"/>
      <c r="R71" s="27"/>
      <c r="S71" s="27"/>
      <c r="T71" s="27"/>
      <c r="U71" s="27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 ht="13.6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7"/>
      <c r="O72" s="27"/>
      <c r="P72" s="27"/>
      <c r="Q72" s="27"/>
      <c r="R72" s="27"/>
      <c r="S72" s="27"/>
      <c r="T72" s="27"/>
      <c r="U72" s="27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ht="13.6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27"/>
      <c r="O73" s="27"/>
      <c r="P73" s="27"/>
      <c r="Q73" s="27"/>
      <c r="R73" s="27"/>
      <c r="S73" s="27"/>
      <c r="T73" s="27"/>
      <c r="U73" s="27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 ht="13.6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7"/>
      <c r="O74" s="27"/>
      <c r="P74" s="27"/>
      <c r="Q74" s="27"/>
      <c r="R74" s="27"/>
      <c r="S74" s="27"/>
      <c r="T74" s="27"/>
      <c r="U74" s="27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5" ht="13.6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27"/>
      <c r="O75" s="27"/>
      <c r="P75" s="27"/>
      <c r="Q75" s="27"/>
      <c r="R75" s="27"/>
      <c r="S75" s="27"/>
      <c r="T75" s="27"/>
      <c r="U75" s="27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 ht="13.6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27"/>
      <c r="O76" s="27"/>
      <c r="P76" s="27"/>
      <c r="Q76" s="27"/>
      <c r="R76" s="27"/>
      <c r="S76" s="27"/>
      <c r="T76" s="27"/>
      <c r="U76" s="27"/>
      <c r="V76" s="33"/>
      <c r="W76" s="33"/>
      <c r="X76" s="33"/>
      <c r="Y76" s="33"/>
      <c r="Z76" s="33"/>
      <c r="AA76" s="33"/>
      <c r="AB76" s="33"/>
      <c r="AC76" s="33"/>
      <c r="AD76" s="33"/>
      <c r="AE76" s="33"/>
    </row>
    <row r="77" ht="13.6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27"/>
      <c r="O77" s="27"/>
      <c r="P77" s="27"/>
      <c r="Q77" s="27"/>
      <c r="R77" s="27"/>
      <c r="S77" s="27"/>
      <c r="T77" s="27"/>
      <c r="U77" s="27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 ht="13.6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27"/>
      <c r="O78" s="27"/>
      <c r="P78" s="27"/>
      <c r="Q78" s="27"/>
      <c r="R78" s="27"/>
      <c r="S78" s="27"/>
      <c r="T78" s="27"/>
      <c r="U78" s="27"/>
      <c r="V78" s="33"/>
      <c r="W78" s="33"/>
      <c r="X78" s="33"/>
      <c r="Y78" s="33"/>
      <c r="Z78" s="33"/>
      <c r="AA78" s="33"/>
      <c r="AB78" s="33"/>
      <c r="AC78" s="33"/>
      <c r="AD78" s="33"/>
      <c r="AE78" s="33"/>
    </row>
    <row r="79" ht="13.6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27"/>
      <c r="O79" s="27"/>
      <c r="P79" s="27"/>
      <c r="Q79" s="27"/>
      <c r="R79" s="27"/>
      <c r="S79" s="27"/>
      <c r="T79" s="27"/>
      <c r="U79" s="27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 ht="13.6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27"/>
      <c r="O80" s="27"/>
      <c r="P80" s="27"/>
      <c r="Q80" s="27"/>
      <c r="R80" s="27"/>
      <c r="S80" s="27"/>
      <c r="T80" s="27"/>
      <c r="U80" s="27"/>
      <c r="V80" s="33"/>
      <c r="W80" s="33"/>
      <c r="X80" s="33"/>
      <c r="Y80" s="33"/>
      <c r="Z80" s="33"/>
      <c r="AA80" s="33"/>
      <c r="AB80" s="33"/>
      <c r="AC80" s="33"/>
      <c r="AD80" s="33"/>
      <c r="AE80" s="33"/>
    </row>
    <row r="81" ht="13.6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27"/>
      <c r="O81" s="27"/>
      <c r="P81" s="27"/>
      <c r="Q81" s="27"/>
      <c r="R81" s="27"/>
      <c r="S81" s="27"/>
      <c r="T81" s="27"/>
      <c r="U81" s="27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 ht="13.6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27"/>
      <c r="O82" s="27"/>
      <c r="P82" s="27"/>
      <c r="Q82" s="27"/>
      <c r="R82" s="27"/>
      <c r="S82" s="27"/>
      <c r="T82" s="27"/>
      <c r="U82" s="27"/>
      <c r="V82" s="33"/>
      <c r="W82" s="33"/>
      <c r="X82" s="33"/>
      <c r="Y82" s="33"/>
      <c r="Z82" s="33"/>
      <c r="AA82" s="33"/>
      <c r="AB82" s="33"/>
      <c r="AC82" s="33"/>
      <c r="AD82" s="33"/>
      <c r="AE82" s="33"/>
    </row>
    <row r="83" ht="13.6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27"/>
      <c r="O83" s="27"/>
      <c r="P83" s="27"/>
      <c r="Q83" s="27"/>
      <c r="R83" s="27"/>
      <c r="S83" s="27"/>
      <c r="T83" s="27"/>
      <c r="U83" s="27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 ht="13.6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27"/>
      <c r="O84" s="27"/>
      <c r="P84" s="27"/>
      <c r="Q84" s="27"/>
      <c r="R84" s="27"/>
      <c r="S84" s="27"/>
      <c r="T84" s="27"/>
      <c r="U84" s="27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 ht="13.6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27"/>
      <c r="O85" s="27"/>
      <c r="P85" s="27"/>
      <c r="Q85" s="27"/>
      <c r="R85" s="27"/>
      <c r="S85" s="27"/>
      <c r="T85" s="27"/>
      <c r="U85" s="27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 ht="13.6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27"/>
      <c r="O86" s="27"/>
      <c r="P86" s="27"/>
      <c r="Q86" s="27"/>
      <c r="R86" s="27"/>
      <c r="S86" s="27"/>
      <c r="T86" s="27"/>
      <c r="U86" s="27"/>
      <c r="V86" s="33"/>
      <c r="W86" s="33"/>
      <c r="X86" s="33"/>
      <c r="Y86" s="33"/>
      <c r="Z86" s="33"/>
      <c r="AA86" s="33"/>
      <c r="AB86" s="33"/>
      <c r="AC86" s="33"/>
      <c r="AD86" s="33"/>
      <c r="AE86" s="33"/>
    </row>
    <row r="87" ht="13.6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27"/>
      <c r="O87" s="27"/>
      <c r="P87" s="27"/>
      <c r="Q87" s="27"/>
      <c r="R87" s="27"/>
      <c r="S87" s="27"/>
      <c r="T87" s="27"/>
      <c r="U87" s="27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 ht="13.6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27"/>
      <c r="O88" s="27"/>
      <c r="P88" s="27"/>
      <c r="Q88" s="27"/>
      <c r="R88" s="27"/>
      <c r="S88" s="27"/>
      <c r="T88" s="27"/>
      <c r="U88" s="27"/>
      <c r="V88" s="33"/>
      <c r="W88" s="33"/>
      <c r="X88" s="33"/>
      <c r="Y88" s="33"/>
      <c r="Z88" s="33"/>
      <c r="AA88" s="33"/>
      <c r="AB88" s="33"/>
      <c r="AC88" s="33"/>
      <c r="AD88" s="33"/>
      <c r="AE88" s="33"/>
    </row>
    <row r="89" ht="13.6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27"/>
      <c r="O89" s="27"/>
      <c r="P89" s="27"/>
      <c r="Q89" s="27"/>
      <c r="R89" s="27"/>
      <c r="S89" s="27"/>
      <c r="T89" s="27"/>
      <c r="U89" s="27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ht="13.6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27"/>
      <c r="O90" s="27"/>
      <c r="P90" s="27"/>
      <c r="Q90" s="27"/>
      <c r="R90" s="27"/>
      <c r="S90" s="27"/>
      <c r="T90" s="27"/>
      <c r="U90" s="27"/>
      <c r="V90" s="33"/>
      <c r="W90" s="33"/>
      <c r="X90" s="33"/>
      <c r="Y90" s="33"/>
      <c r="Z90" s="33"/>
      <c r="AA90" s="33"/>
      <c r="AB90" s="33"/>
      <c r="AC90" s="33"/>
      <c r="AD90" s="33"/>
      <c r="AE90" s="33"/>
    </row>
    <row r="91" ht="13.6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27"/>
      <c r="O91" s="27"/>
      <c r="P91" s="27"/>
      <c r="Q91" s="27"/>
      <c r="R91" s="27"/>
      <c r="S91" s="27"/>
      <c r="T91" s="27"/>
      <c r="U91" s="27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ht="13.6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27"/>
      <c r="O92" s="27"/>
      <c r="P92" s="27"/>
      <c r="Q92" s="27"/>
      <c r="R92" s="27"/>
      <c r="S92" s="27"/>
      <c r="T92" s="27"/>
      <c r="U92" s="27"/>
      <c r="V92" s="33"/>
      <c r="W92" s="33"/>
      <c r="X92" s="33"/>
      <c r="Y92" s="33"/>
      <c r="Z92" s="33"/>
      <c r="AA92" s="33"/>
      <c r="AB92" s="33"/>
      <c r="AC92" s="33"/>
      <c r="AD92" s="33"/>
      <c r="AE92" s="33"/>
    </row>
    <row r="93" ht="13.6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27"/>
      <c r="O93" s="27"/>
      <c r="P93" s="27"/>
      <c r="Q93" s="27"/>
      <c r="R93" s="27"/>
      <c r="S93" s="27"/>
      <c r="T93" s="27"/>
      <c r="U93" s="27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 ht="13.6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27"/>
      <c r="O94" s="27"/>
      <c r="P94" s="27"/>
      <c r="Q94" s="27"/>
      <c r="R94" s="27"/>
      <c r="S94" s="27"/>
      <c r="T94" s="27"/>
      <c r="U94" s="27"/>
      <c r="V94" s="33"/>
      <c r="W94" s="33"/>
      <c r="X94" s="33"/>
      <c r="Y94" s="33"/>
      <c r="Z94" s="33"/>
      <c r="AA94" s="33"/>
      <c r="AB94" s="33"/>
      <c r="AC94" s="33"/>
      <c r="AD94" s="33"/>
      <c r="AE94" s="33"/>
    </row>
    <row r="95" ht="13.6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27"/>
      <c r="O95" s="27"/>
      <c r="P95" s="27"/>
      <c r="Q95" s="27"/>
      <c r="R95" s="27"/>
      <c r="S95" s="27"/>
      <c r="T95" s="27"/>
      <c r="U95" s="27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 ht="13.6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27"/>
      <c r="O96" s="27"/>
      <c r="P96" s="27"/>
      <c r="Q96" s="27"/>
      <c r="R96" s="27"/>
      <c r="S96" s="27"/>
      <c r="T96" s="27"/>
      <c r="U96" s="27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ht="13.6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27"/>
      <c r="O97" s="27"/>
      <c r="P97" s="27"/>
      <c r="Q97" s="27"/>
      <c r="R97" s="27"/>
      <c r="S97" s="27"/>
      <c r="T97" s="27"/>
      <c r="U97" s="27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 ht="13.6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27"/>
      <c r="O98" s="27"/>
      <c r="P98" s="27"/>
      <c r="Q98" s="27"/>
      <c r="R98" s="27"/>
      <c r="S98" s="27"/>
      <c r="T98" s="27"/>
      <c r="U98" s="27"/>
      <c r="V98" s="33"/>
      <c r="W98" s="33"/>
      <c r="X98" s="33"/>
      <c r="Y98" s="33"/>
      <c r="Z98" s="33"/>
      <c r="AA98" s="33"/>
      <c r="AB98" s="33"/>
      <c r="AC98" s="33"/>
      <c r="AD98" s="33"/>
      <c r="AE98" s="33"/>
    </row>
    <row r="99" ht="13.6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27"/>
      <c r="O99" s="27"/>
      <c r="P99" s="27"/>
      <c r="Q99" s="27"/>
      <c r="R99" s="27"/>
      <c r="S99" s="27"/>
      <c r="T99" s="27"/>
      <c r="U99" s="27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ht="13.6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27"/>
      <c r="O100" s="27"/>
      <c r="P100" s="27"/>
      <c r="Q100" s="27"/>
      <c r="R100" s="27"/>
      <c r="S100" s="27"/>
      <c r="T100" s="27"/>
      <c r="U100" s="27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 ht="13.6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27"/>
      <c r="O101" s="27"/>
      <c r="P101" s="27"/>
      <c r="Q101" s="27"/>
      <c r="R101" s="27"/>
      <c r="S101" s="27"/>
      <c r="T101" s="27"/>
      <c r="U101" s="27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 ht="13.6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27"/>
      <c r="O102" s="27"/>
      <c r="P102" s="27"/>
      <c r="Q102" s="27"/>
      <c r="R102" s="27"/>
      <c r="S102" s="27"/>
      <c r="T102" s="27"/>
      <c r="U102" s="27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 ht="13.6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27"/>
      <c r="O103" s="27"/>
      <c r="P103" s="27"/>
      <c r="Q103" s="27"/>
      <c r="R103" s="27"/>
      <c r="S103" s="27"/>
      <c r="T103" s="27"/>
      <c r="U103" s="27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</row>
    <row r="104" ht="13.6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27"/>
      <c r="O104" s="27"/>
      <c r="P104" s="27"/>
      <c r="Q104" s="27"/>
      <c r="R104" s="27"/>
      <c r="S104" s="27"/>
      <c r="T104" s="27"/>
      <c r="U104" s="27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</row>
    <row r="105" ht="13.6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27"/>
      <c r="O105" s="27"/>
      <c r="P105" s="27"/>
      <c r="Q105" s="27"/>
      <c r="R105" s="27"/>
      <c r="S105" s="27"/>
      <c r="T105" s="27"/>
      <c r="U105" s="27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</row>
    <row r="106" ht="13.6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27"/>
      <c r="O106" s="27"/>
      <c r="P106" s="27"/>
      <c r="Q106" s="27"/>
      <c r="R106" s="27"/>
      <c r="S106" s="27"/>
      <c r="T106" s="27"/>
      <c r="U106" s="27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</row>
    <row r="107" ht="13.6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27"/>
      <c r="O107" s="27"/>
      <c r="P107" s="27"/>
      <c r="Q107" s="27"/>
      <c r="R107" s="27"/>
      <c r="S107" s="27"/>
      <c r="T107" s="27"/>
      <c r="U107" s="27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</row>
    <row r="108" ht="13.6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27"/>
      <c r="Q108" s="27"/>
      <c r="R108" s="27"/>
      <c r="S108" s="27"/>
      <c r="T108" s="27"/>
      <c r="U108" s="27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</row>
    <row r="109" ht="13.6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27"/>
      <c r="O109" s="27"/>
      <c r="P109" s="27"/>
      <c r="Q109" s="27"/>
      <c r="R109" s="27"/>
      <c r="S109" s="27"/>
      <c r="T109" s="27"/>
      <c r="U109" s="27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</row>
    <row r="110" ht="13.6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27"/>
      <c r="O110" s="27"/>
      <c r="P110" s="27"/>
      <c r="Q110" s="27"/>
      <c r="R110" s="27"/>
      <c r="S110" s="27"/>
      <c r="T110" s="27"/>
      <c r="U110" s="27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</row>
    <row r="111" ht="13.6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27"/>
      <c r="O111" s="27"/>
      <c r="P111" s="27"/>
      <c r="Q111" s="27"/>
      <c r="R111" s="27"/>
      <c r="S111" s="27"/>
      <c r="T111" s="27"/>
      <c r="U111" s="27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</row>
    <row r="112" ht="13.6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27"/>
      <c r="O112" s="27"/>
      <c r="P112" s="27"/>
      <c r="Q112" s="27"/>
      <c r="R112" s="27"/>
      <c r="S112" s="27"/>
      <c r="T112" s="27"/>
      <c r="U112" s="27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</row>
    <row r="113" ht="13.6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27"/>
      <c r="O113" s="27"/>
      <c r="P113" s="27"/>
      <c r="Q113" s="27"/>
      <c r="R113" s="27"/>
      <c r="S113" s="27"/>
      <c r="T113" s="27"/>
      <c r="U113" s="27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ht="13.6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27"/>
      <c r="O114" s="27"/>
      <c r="P114" s="27"/>
      <c r="Q114" s="27"/>
      <c r="R114" s="27"/>
      <c r="S114" s="27"/>
      <c r="T114" s="27"/>
      <c r="U114" s="27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 ht="13.6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27"/>
      <c r="O115" s="27"/>
      <c r="P115" s="27"/>
      <c r="Q115" s="27"/>
      <c r="R115" s="27"/>
      <c r="S115" s="27"/>
      <c r="T115" s="27"/>
      <c r="U115" s="27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</row>
    <row r="116" ht="13.6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27"/>
      <c r="O116" s="27"/>
      <c r="P116" s="27"/>
      <c r="Q116" s="27"/>
      <c r="R116" s="27"/>
      <c r="S116" s="27"/>
      <c r="T116" s="27"/>
      <c r="U116" s="27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</row>
    <row r="117" ht="13.6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27"/>
      <c r="O117" s="27"/>
      <c r="P117" s="27"/>
      <c r="Q117" s="27"/>
      <c r="R117" s="27"/>
      <c r="S117" s="27"/>
      <c r="T117" s="27"/>
      <c r="U117" s="27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</row>
    <row r="118" ht="13.6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27"/>
      <c r="O118" s="27"/>
      <c r="P118" s="27"/>
      <c r="Q118" s="27"/>
      <c r="R118" s="27"/>
      <c r="S118" s="27"/>
      <c r="T118" s="27"/>
      <c r="U118" s="27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</row>
    <row r="119" ht="13.6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27"/>
      <c r="O119" s="27"/>
      <c r="P119" s="27"/>
      <c r="Q119" s="27"/>
      <c r="R119" s="27"/>
      <c r="S119" s="27"/>
      <c r="T119" s="27"/>
      <c r="U119" s="27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</row>
    <row r="120" ht="13.6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27"/>
      <c r="O120" s="27"/>
      <c r="P120" s="27"/>
      <c r="Q120" s="27"/>
      <c r="R120" s="27"/>
      <c r="S120" s="27"/>
      <c r="T120" s="27"/>
      <c r="U120" s="27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</row>
    <row r="121" ht="13.6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27"/>
      <c r="O121" s="27"/>
      <c r="P121" s="27"/>
      <c r="Q121" s="27"/>
      <c r="R121" s="27"/>
      <c r="S121" s="27"/>
      <c r="T121" s="27"/>
      <c r="U121" s="27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</row>
    <row r="122" ht="13.6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27"/>
      <c r="O122" s="27"/>
      <c r="P122" s="27"/>
      <c r="Q122" s="27"/>
      <c r="R122" s="27"/>
      <c r="S122" s="27"/>
      <c r="T122" s="27"/>
      <c r="U122" s="27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</row>
    <row r="123" ht="13.6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27"/>
      <c r="O123" s="27"/>
      <c r="P123" s="27"/>
      <c r="Q123" s="27"/>
      <c r="R123" s="27"/>
      <c r="S123" s="27"/>
      <c r="T123" s="27"/>
      <c r="U123" s="27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</row>
    <row r="124" ht="13.6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27"/>
      <c r="O124" s="27"/>
      <c r="P124" s="27"/>
      <c r="Q124" s="27"/>
      <c r="R124" s="27"/>
      <c r="S124" s="27"/>
      <c r="T124" s="27"/>
      <c r="U124" s="27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</row>
    <row r="125" ht="13.6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27"/>
      <c r="O125" s="27"/>
      <c r="P125" s="27"/>
      <c r="Q125" s="27"/>
      <c r="R125" s="27"/>
      <c r="S125" s="27"/>
      <c r="T125" s="27"/>
      <c r="U125" s="27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</row>
    <row r="126" ht="13.6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27"/>
      <c r="O126" s="27"/>
      <c r="P126" s="27"/>
      <c r="Q126" s="27"/>
      <c r="R126" s="27"/>
      <c r="S126" s="27"/>
      <c r="T126" s="27"/>
      <c r="U126" s="27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</row>
    <row r="127" ht="13.6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27"/>
      <c r="O127" s="27"/>
      <c r="P127" s="27"/>
      <c r="Q127" s="27"/>
      <c r="R127" s="27"/>
      <c r="S127" s="27"/>
      <c r="T127" s="27"/>
      <c r="U127" s="27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</row>
    <row r="128" ht="13.6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27"/>
      <c r="O128" s="27"/>
      <c r="P128" s="27"/>
      <c r="Q128" s="27"/>
      <c r="R128" s="27"/>
      <c r="S128" s="27"/>
      <c r="T128" s="27"/>
      <c r="U128" s="27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</row>
    <row r="129" ht="13.6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27"/>
      <c r="O129" s="27"/>
      <c r="P129" s="27"/>
      <c r="Q129" s="27"/>
      <c r="R129" s="27"/>
      <c r="S129" s="27"/>
      <c r="T129" s="27"/>
      <c r="U129" s="27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</row>
    <row r="130" ht="13.6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27"/>
      <c r="O130" s="27"/>
      <c r="P130" s="27"/>
      <c r="Q130" s="27"/>
      <c r="R130" s="27"/>
      <c r="S130" s="27"/>
      <c r="T130" s="27"/>
      <c r="U130" s="27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</row>
    <row r="131" ht="13.6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27"/>
      <c r="O131" s="27"/>
      <c r="P131" s="27"/>
      <c r="Q131" s="27"/>
      <c r="R131" s="27"/>
      <c r="S131" s="27"/>
      <c r="T131" s="27"/>
      <c r="U131" s="27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ht="13.6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27"/>
      <c r="O132" s="27"/>
      <c r="P132" s="27"/>
      <c r="Q132" s="27"/>
      <c r="R132" s="27"/>
      <c r="S132" s="27"/>
      <c r="T132" s="27"/>
      <c r="U132" s="27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</row>
    <row r="133" ht="13.6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27"/>
      <c r="O133" s="27"/>
      <c r="P133" s="27"/>
      <c r="Q133" s="27"/>
      <c r="R133" s="27"/>
      <c r="S133" s="27"/>
      <c r="T133" s="27"/>
      <c r="U133" s="27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ht="13.6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27"/>
      <c r="O134" s="27"/>
      <c r="P134" s="27"/>
      <c r="Q134" s="27"/>
      <c r="R134" s="27"/>
      <c r="S134" s="27"/>
      <c r="T134" s="27"/>
      <c r="U134" s="27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</row>
    <row r="135" ht="13.6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27"/>
      <c r="O135" s="27"/>
      <c r="P135" s="27"/>
      <c r="Q135" s="27"/>
      <c r="R135" s="27"/>
      <c r="S135" s="27"/>
      <c r="T135" s="27"/>
      <c r="U135" s="27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ht="13.6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27"/>
      <c r="O136" s="27"/>
      <c r="P136" s="27"/>
      <c r="Q136" s="27"/>
      <c r="R136" s="27"/>
      <c r="S136" s="27"/>
      <c r="T136" s="27"/>
      <c r="U136" s="27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</row>
    <row r="137" ht="13.6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27"/>
      <c r="O137" s="27"/>
      <c r="P137" s="27"/>
      <c r="Q137" s="27"/>
      <c r="R137" s="27"/>
      <c r="S137" s="27"/>
      <c r="T137" s="27"/>
      <c r="U137" s="27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</row>
    <row r="138" ht="13.6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27"/>
      <c r="O138" s="27"/>
      <c r="P138" s="27"/>
      <c r="Q138" s="27"/>
      <c r="R138" s="27"/>
      <c r="S138" s="27"/>
      <c r="T138" s="27"/>
      <c r="U138" s="27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</row>
    <row r="139" ht="13.6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27"/>
      <c r="O139" s="27"/>
      <c r="P139" s="27"/>
      <c r="Q139" s="27"/>
      <c r="R139" s="27"/>
      <c r="S139" s="27"/>
      <c r="T139" s="27"/>
      <c r="U139" s="27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</row>
    <row r="140" ht="13.6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27"/>
      <c r="O140" s="27"/>
      <c r="P140" s="27"/>
      <c r="Q140" s="27"/>
      <c r="R140" s="27"/>
      <c r="S140" s="27"/>
      <c r="T140" s="27"/>
      <c r="U140" s="27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</row>
    <row r="141" ht="13.6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27"/>
      <c r="O141" s="27"/>
      <c r="P141" s="27"/>
      <c r="Q141" s="27"/>
      <c r="R141" s="27"/>
      <c r="S141" s="27"/>
      <c r="T141" s="27"/>
      <c r="U141" s="27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</row>
    <row r="142" ht="13.6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27"/>
      <c r="O142" s="27"/>
      <c r="P142" s="27"/>
      <c r="Q142" s="27"/>
      <c r="R142" s="27"/>
      <c r="S142" s="27"/>
      <c r="T142" s="27"/>
      <c r="U142" s="27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</row>
    <row r="143" ht="13.6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27"/>
      <c r="O143" s="27"/>
      <c r="P143" s="27"/>
      <c r="Q143" s="27"/>
      <c r="R143" s="27"/>
      <c r="S143" s="27"/>
      <c r="T143" s="27"/>
      <c r="U143" s="27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</row>
    <row r="144" ht="13.6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27"/>
      <c r="O144" s="27"/>
      <c r="P144" s="27"/>
      <c r="Q144" s="27"/>
      <c r="R144" s="27"/>
      <c r="S144" s="27"/>
      <c r="T144" s="27"/>
      <c r="U144" s="27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</row>
    <row r="145" ht="13.6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27"/>
      <c r="O145" s="27"/>
      <c r="P145" s="27"/>
      <c r="Q145" s="27"/>
      <c r="R145" s="27"/>
      <c r="S145" s="27"/>
      <c r="T145" s="27"/>
      <c r="U145" s="27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</row>
    <row r="146" ht="13.6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27"/>
      <c r="O146" s="27"/>
      <c r="P146" s="27"/>
      <c r="Q146" s="27"/>
      <c r="R146" s="27"/>
      <c r="S146" s="27"/>
      <c r="T146" s="27"/>
      <c r="U146" s="27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</row>
    <row r="147" ht="13.6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27"/>
      <c r="O147" s="27"/>
      <c r="P147" s="27"/>
      <c r="Q147" s="27"/>
      <c r="R147" s="27"/>
      <c r="S147" s="27"/>
      <c r="T147" s="27"/>
      <c r="U147" s="27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</row>
    <row r="148" ht="13.6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27"/>
      <c r="O148" s="27"/>
      <c r="P148" s="27"/>
      <c r="Q148" s="27"/>
      <c r="R148" s="27"/>
      <c r="S148" s="27"/>
      <c r="T148" s="27"/>
      <c r="U148" s="27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 ht="13.6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27"/>
      <c r="O149" s="27"/>
      <c r="P149" s="27"/>
      <c r="Q149" s="27"/>
      <c r="R149" s="27"/>
      <c r="S149" s="27"/>
      <c r="T149" s="27"/>
      <c r="U149" s="27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  <row r="150" ht="13.6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27"/>
      <c r="O150" s="27"/>
      <c r="P150" s="27"/>
      <c r="Q150" s="27"/>
      <c r="R150" s="27"/>
      <c r="S150" s="27"/>
      <c r="T150" s="27"/>
      <c r="U150" s="27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</row>
    <row r="151" ht="13.6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27"/>
      <c r="O151" s="27"/>
      <c r="P151" s="27"/>
      <c r="Q151" s="27"/>
      <c r="R151" s="27"/>
      <c r="S151" s="27"/>
      <c r="T151" s="27"/>
      <c r="U151" s="27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</row>
    <row r="152" ht="13.6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27"/>
      <c r="O152" s="27"/>
      <c r="P152" s="27"/>
      <c r="Q152" s="27"/>
      <c r="R152" s="27"/>
      <c r="S152" s="27"/>
      <c r="T152" s="27"/>
      <c r="U152" s="27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</row>
    <row r="153" ht="13.6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27"/>
      <c r="O153" s="27"/>
      <c r="P153" s="27"/>
      <c r="Q153" s="27"/>
      <c r="R153" s="27"/>
      <c r="S153" s="27"/>
      <c r="T153" s="27"/>
      <c r="U153" s="27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</row>
    <row r="154" ht="13.6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27"/>
      <c r="O154" s="27"/>
      <c r="P154" s="27"/>
      <c r="Q154" s="27"/>
      <c r="R154" s="27"/>
      <c r="S154" s="27"/>
      <c r="T154" s="27"/>
      <c r="U154" s="27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</row>
    <row r="155" ht="13.6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27"/>
      <c r="O155" s="27"/>
      <c r="P155" s="27"/>
      <c r="Q155" s="27"/>
      <c r="R155" s="27"/>
      <c r="S155" s="27"/>
      <c r="T155" s="27"/>
      <c r="U155" s="27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</row>
    <row r="156" ht="13.6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27"/>
      <c r="O156" s="27"/>
      <c r="P156" s="27"/>
      <c r="Q156" s="27"/>
      <c r="R156" s="27"/>
      <c r="S156" s="27"/>
      <c r="T156" s="27"/>
      <c r="U156" s="27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</row>
    <row r="157" ht="13.6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27"/>
      <c r="O157" s="27"/>
      <c r="P157" s="27"/>
      <c r="Q157" s="27"/>
      <c r="R157" s="27"/>
      <c r="S157" s="27"/>
      <c r="T157" s="27"/>
      <c r="U157" s="27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</row>
    <row r="158" ht="13.6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27"/>
      <c r="O158" s="27"/>
      <c r="P158" s="27"/>
      <c r="Q158" s="27"/>
      <c r="R158" s="27"/>
      <c r="S158" s="27"/>
      <c r="T158" s="27"/>
      <c r="U158" s="27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</row>
    <row r="159" ht="13.6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27"/>
      <c r="O159" s="27"/>
      <c r="P159" s="27"/>
      <c r="Q159" s="27"/>
      <c r="R159" s="27"/>
      <c r="S159" s="27"/>
      <c r="T159" s="27"/>
      <c r="U159" s="27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</row>
    <row r="160" ht="13.6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27"/>
      <c r="O160" s="27"/>
      <c r="P160" s="27"/>
      <c r="Q160" s="27"/>
      <c r="R160" s="27"/>
      <c r="S160" s="27"/>
      <c r="T160" s="27"/>
      <c r="U160" s="27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</row>
    <row r="161" ht="13.6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27"/>
      <c r="O161" s="27"/>
      <c r="P161" s="27"/>
      <c r="Q161" s="27"/>
      <c r="R161" s="27"/>
      <c r="S161" s="27"/>
      <c r="T161" s="27"/>
      <c r="U161" s="27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</row>
    <row r="162" ht="13.6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27"/>
      <c r="O162" s="27"/>
      <c r="P162" s="27"/>
      <c r="Q162" s="27"/>
      <c r="R162" s="27"/>
      <c r="S162" s="27"/>
      <c r="T162" s="27"/>
      <c r="U162" s="27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</row>
    <row r="163" ht="13.6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27"/>
      <c r="O163" s="27"/>
      <c r="P163" s="27"/>
      <c r="Q163" s="27"/>
      <c r="R163" s="27"/>
      <c r="S163" s="27"/>
      <c r="T163" s="27"/>
      <c r="U163" s="27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</row>
    <row r="164" ht="13.6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27"/>
      <c r="O164" s="27"/>
      <c r="P164" s="27"/>
      <c r="Q164" s="27"/>
      <c r="R164" s="27"/>
      <c r="S164" s="27"/>
      <c r="T164" s="27"/>
      <c r="U164" s="27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</row>
    <row r="165" ht="13.6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27"/>
      <c r="O165" s="27"/>
      <c r="P165" s="27"/>
      <c r="Q165" s="27"/>
      <c r="R165" s="27"/>
      <c r="S165" s="27"/>
      <c r="T165" s="27"/>
      <c r="U165" s="27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</row>
    <row r="166" ht="13.6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27"/>
      <c r="O166" s="27"/>
      <c r="P166" s="27"/>
      <c r="Q166" s="27"/>
      <c r="R166" s="27"/>
      <c r="S166" s="27"/>
      <c r="T166" s="27"/>
      <c r="U166" s="27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</row>
    <row r="167" ht="13.6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27"/>
      <c r="O167" s="27"/>
      <c r="P167" s="27"/>
      <c r="Q167" s="27"/>
      <c r="R167" s="27"/>
      <c r="S167" s="27"/>
      <c r="T167" s="27"/>
      <c r="U167" s="27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</row>
    <row r="168" ht="13.6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27"/>
      <c r="O168" s="27"/>
      <c r="P168" s="27"/>
      <c r="Q168" s="27"/>
      <c r="R168" s="27"/>
      <c r="S168" s="27"/>
      <c r="T168" s="27"/>
      <c r="U168" s="27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</row>
    <row r="169" ht="13.6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27"/>
      <c r="O169" s="27"/>
      <c r="P169" s="27"/>
      <c r="Q169" s="27"/>
      <c r="R169" s="27"/>
      <c r="S169" s="27"/>
      <c r="T169" s="27"/>
      <c r="U169" s="27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</row>
    <row r="170" ht="13.6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27"/>
      <c r="O170" s="27"/>
      <c r="P170" s="27"/>
      <c r="Q170" s="27"/>
      <c r="R170" s="27"/>
      <c r="S170" s="27"/>
      <c r="T170" s="27"/>
      <c r="U170" s="27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</row>
    <row r="171" ht="13.6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27"/>
      <c r="O171" s="27"/>
      <c r="P171" s="27"/>
      <c r="Q171" s="27"/>
      <c r="R171" s="27"/>
      <c r="S171" s="27"/>
      <c r="T171" s="27"/>
      <c r="U171" s="27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</row>
    <row r="172" ht="13.6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27"/>
      <c r="O172" s="27"/>
      <c r="P172" s="27"/>
      <c r="Q172" s="27"/>
      <c r="R172" s="27"/>
      <c r="S172" s="27"/>
      <c r="T172" s="27"/>
      <c r="U172" s="27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</row>
    <row r="173" ht="13.6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27"/>
      <c r="O173" s="27"/>
      <c r="P173" s="27"/>
      <c r="Q173" s="27"/>
      <c r="R173" s="27"/>
      <c r="S173" s="27"/>
      <c r="T173" s="27"/>
      <c r="U173" s="27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</row>
    <row r="174" ht="13.6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27"/>
      <c r="O174" s="27"/>
      <c r="P174" s="27"/>
      <c r="Q174" s="27"/>
      <c r="R174" s="27"/>
      <c r="S174" s="27"/>
      <c r="T174" s="27"/>
      <c r="U174" s="27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</row>
    <row r="175" ht="13.6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27"/>
      <c r="O175" s="27"/>
      <c r="P175" s="27"/>
      <c r="Q175" s="27"/>
      <c r="R175" s="27"/>
      <c r="S175" s="27"/>
      <c r="T175" s="27"/>
      <c r="U175" s="27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</row>
    <row r="176" ht="13.6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27"/>
      <c r="O176" s="27"/>
      <c r="P176" s="27"/>
      <c r="Q176" s="27"/>
      <c r="R176" s="27"/>
      <c r="S176" s="27"/>
      <c r="T176" s="27"/>
      <c r="U176" s="27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</row>
    <row r="177" ht="13.6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27"/>
      <c r="O177" s="27"/>
      <c r="P177" s="27"/>
      <c r="Q177" s="27"/>
      <c r="R177" s="27"/>
      <c r="S177" s="27"/>
      <c r="T177" s="27"/>
      <c r="U177" s="27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</row>
    <row r="178" ht="13.6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27"/>
      <c r="O178" s="27"/>
      <c r="P178" s="27"/>
      <c r="Q178" s="27"/>
      <c r="R178" s="27"/>
      <c r="S178" s="27"/>
      <c r="T178" s="27"/>
      <c r="U178" s="27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</row>
    <row r="179" ht="13.6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27"/>
      <c r="O179" s="27"/>
      <c r="P179" s="27"/>
      <c r="Q179" s="27"/>
      <c r="R179" s="27"/>
      <c r="S179" s="27"/>
      <c r="T179" s="27"/>
      <c r="U179" s="27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</row>
    <row r="180" ht="13.6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27"/>
      <c r="O180" s="27"/>
      <c r="P180" s="27"/>
      <c r="Q180" s="27"/>
      <c r="R180" s="27"/>
      <c r="S180" s="27"/>
      <c r="T180" s="27"/>
      <c r="U180" s="27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</row>
    <row r="181" ht="13.6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27"/>
      <c r="O181" s="27"/>
      <c r="P181" s="27"/>
      <c r="Q181" s="27"/>
      <c r="R181" s="27"/>
      <c r="S181" s="27"/>
      <c r="T181" s="27"/>
      <c r="U181" s="27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</row>
    <row r="182" ht="13.6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27"/>
      <c r="O182" s="27"/>
      <c r="P182" s="27"/>
      <c r="Q182" s="27"/>
      <c r="R182" s="27"/>
      <c r="S182" s="27"/>
      <c r="T182" s="27"/>
      <c r="U182" s="27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</row>
    <row r="183" ht="13.6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27"/>
      <c r="O183" s="27"/>
      <c r="P183" s="27"/>
      <c r="Q183" s="27"/>
      <c r="R183" s="27"/>
      <c r="S183" s="27"/>
      <c r="T183" s="27"/>
      <c r="U183" s="27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</row>
    <row r="184" ht="13.6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27"/>
      <c r="O184" s="27"/>
      <c r="P184" s="27"/>
      <c r="Q184" s="27"/>
      <c r="R184" s="27"/>
      <c r="S184" s="27"/>
      <c r="T184" s="27"/>
      <c r="U184" s="27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</row>
    <row r="185" ht="13.6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27"/>
      <c r="O185" s="27"/>
      <c r="P185" s="27"/>
      <c r="Q185" s="27"/>
      <c r="R185" s="27"/>
      <c r="S185" s="27"/>
      <c r="T185" s="27"/>
      <c r="U185" s="27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</row>
    <row r="186" ht="13.6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27"/>
      <c r="O186" s="27"/>
      <c r="P186" s="27"/>
      <c r="Q186" s="27"/>
      <c r="R186" s="27"/>
      <c r="S186" s="27"/>
      <c r="T186" s="27"/>
      <c r="U186" s="27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</row>
    <row r="187" ht="13.6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27"/>
      <c r="O187" s="27"/>
      <c r="P187" s="27"/>
      <c r="Q187" s="27"/>
      <c r="R187" s="27"/>
      <c r="S187" s="27"/>
      <c r="T187" s="27"/>
      <c r="U187" s="27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</row>
    <row r="188" ht="13.6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27"/>
      <c r="O188" s="27"/>
      <c r="P188" s="27"/>
      <c r="Q188" s="27"/>
      <c r="R188" s="27"/>
      <c r="S188" s="27"/>
      <c r="T188" s="27"/>
      <c r="U188" s="27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</row>
    <row r="189" ht="13.6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27"/>
      <c r="O189" s="27"/>
      <c r="P189" s="27"/>
      <c r="Q189" s="27"/>
      <c r="R189" s="27"/>
      <c r="S189" s="27"/>
      <c r="T189" s="27"/>
      <c r="U189" s="27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</row>
    <row r="190" ht="13.6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27"/>
      <c r="O190" s="27"/>
      <c r="P190" s="27"/>
      <c r="Q190" s="27"/>
      <c r="R190" s="27"/>
      <c r="S190" s="27"/>
      <c r="T190" s="27"/>
      <c r="U190" s="27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</row>
    <row r="191" ht="13.6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27"/>
      <c r="O191" s="27"/>
      <c r="P191" s="27"/>
      <c r="Q191" s="27"/>
      <c r="R191" s="27"/>
      <c r="S191" s="27"/>
      <c r="T191" s="27"/>
      <c r="U191" s="27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</row>
    <row r="192" ht="13.6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27"/>
      <c r="O192" s="27"/>
      <c r="P192" s="27"/>
      <c r="Q192" s="27"/>
      <c r="R192" s="27"/>
      <c r="S192" s="27"/>
      <c r="T192" s="27"/>
      <c r="U192" s="27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</row>
    <row r="193" ht="13.6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27"/>
      <c r="O193" s="27"/>
      <c r="P193" s="27"/>
      <c r="Q193" s="27"/>
      <c r="R193" s="27"/>
      <c r="S193" s="27"/>
      <c r="T193" s="27"/>
      <c r="U193" s="27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</row>
    <row r="194" ht="13.6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27"/>
      <c r="O194" s="27"/>
      <c r="P194" s="27"/>
      <c r="Q194" s="27"/>
      <c r="R194" s="27"/>
      <c r="S194" s="27"/>
      <c r="T194" s="27"/>
      <c r="U194" s="27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</row>
    <row r="195" ht="13.6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27"/>
      <c r="O195" s="27"/>
      <c r="P195" s="27"/>
      <c r="Q195" s="27"/>
      <c r="R195" s="27"/>
      <c r="S195" s="27"/>
      <c r="T195" s="27"/>
      <c r="U195" s="27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</row>
    <row r="196" ht="13.6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27"/>
      <c r="O196" s="27"/>
      <c r="P196" s="27"/>
      <c r="Q196" s="27"/>
      <c r="R196" s="27"/>
      <c r="S196" s="27"/>
      <c r="T196" s="27"/>
      <c r="U196" s="27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</row>
    <row r="197" ht="13.6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27"/>
      <c r="O197" s="27"/>
      <c r="P197" s="27"/>
      <c r="Q197" s="27"/>
      <c r="R197" s="27"/>
      <c r="S197" s="27"/>
      <c r="T197" s="27"/>
      <c r="U197" s="27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</row>
    <row r="198" ht="13.6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27"/>
      <c r="O198" s="27"/>
      <c r="P198" s="27"/>
      <c r="Q198" s="27"/>
      <c r="R198" s="27"/>
      <c r="S198" s="27"/>
      <c r="T198" s="27"/>
      <c r="U198" s="27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</row>
    <row r="199" ht="13.6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27"/>
      <c r="O199" s="27"/>
      <c r="P199" s="27"/>
      <c r="Q199" s="27"/>
      <c r="R199" s="27"/>
      <c r="S199" s="27"/>
      <c r="T199" s="27"/>
      <c r="U199" s="27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</row>
    <row r="200" ht="13.6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27"/>
      <c r="O200" s="27"/>
      <c r="P200" s="27"/>
      <c r="Q200" s="27"/>
      <c r="R200" s="27"/>
      <c r="S200" s="27"/>
      <c r="T200" s="27"/>
      <c r="U200" s="27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</row>
    <row r="201" ht="13.6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27"/>
      <c r="O201" s="27"/>
      <c r="P201" s="27"/>
      <c r="Q201" s="27"/>
      <c r="R201" s="27"/>
      <c r="S201" s="27"/>
      <c r="T201" s="27"/>
      <c r="U201" s="27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</row>
    <row r="202" ht="13.6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27"/>
      <c r="O202" s="27"/>
      <c r="P202" s="27"/>
      <c r="Q202" s="27"/>
      <c r="R202" s="27"/>
      <c r="S202" s="27"/>
      <c r="T202" s="27"/>
      <c r="U202" s="27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</row>
    <row r="203" ht="13.6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27"/>
      <c r="O203" s="27"/>
      <c r="P203" s="27"/>
      <c r="Q203" s="27"/>
      <c r="R203" s="27"/>
      <c r="S203" s="27"/>
      <c r="T203" s="27"/>
      <c r="U203" s="27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</row>
    <row r="204" ht="13.6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27"/>
      <c r="O204" s="27"/>
      <c r="P204" s="27"/>
      <c r="Q204" s="27"/>
      <c r="R204" s="27"/>
      <c r="S204" s="27"/>
      <c r="T204" s="27"/>
      <c r="U204" s="27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</row>
    <row r="205" ht="13.6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27"/>
      <c r="O205" s="27"/>
      <c r="P205" s="27"/>
      <c r="Q205" s="27"/>
      <c r="R205" s="27"/>
      <c r="S205" s="27"/>
      <c r="T205" s="27"/>
      <c r="U205" s="27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</row>
    <row r="206" ht="13.6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27"/>
      <c r="O206" s="27"/>
      <c r="P206" s="27"/>
      <c r="Q206" s="27"/>
      <c r="R206" s="27"/>
      <c r="S206" s="27"/>
      <c r="T206" s="27"/>
      <c r="U206" s="27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</row>
    <row r="207" ht="13.6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27"/>
      <c r="O207" s="27"/>
      <c r="P207" s="27"/>
      <c r="Q207" s="27"/>
      <c r="R207" s="27"/>
      <c r="S207" s="27"/>
      <c r="T207" s="27"/>
      <c r="U207" s="27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</row>
    <row r="208" ht="13.6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27"/>
      <c r="O208" s="27"/>
      <c r="P208" s="27"/>
      <c r="Q208" s="27"/>
      <c r="R208" s="27"/>
      <c r="S208" s="27"/>
      <c r="T208" s="27"/>
      <c r="U208" s="27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</row>
    <row r="209" ht="13.6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27"/>
      <c r="O209" s="27"/>
      <c r="P209" s="27"/>
      <c r="Q209" s="27"/>
      <c r="R209" s="27"/>
      <c r="S209" s="27"/>
      <c r="T209" s="27"/>
      <c r="U209" s="27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</row>
    <row r="210" ht="13.6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27"/>
      <c r="O210" s="27"/>
      <c r="P210" s="27"/>
      <c r="Q210" s="27"/>
      <c r="R210" s="27"/>
      <c r="S210" s="27"/>
      <c r="T210" s="27"/>
      <c r="U210" s="27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</row>
    <row r="211" ht="13.6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27"/>
      <c r="O211" s="27"/>
      <c r="P211" s="27"/>
      <c r="Q211" s="27"/>
      <c r="R211" s="27"/>
      <c r="S211" s="27"/>
      <c r="T211" s="27"/>
      <c r="U211" s="27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</row>
    <row r="212" ht="13.6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27"/>
      <c r="O212" s="27"/>
      <c r="P212" s="27"/>
      <c r="Q212" s="27"/>
      <c r="R212" s="27"/>
      <c r="S212" s="27"/>
      <c r="T212" s="27"/>
      <c r="U212" s="27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</row>
    <row r="213" ht="13.6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27"/>
      <c r="O213" s="27"/>
      <c r="P213" s="27"/>
      <c r="Q213" s="27"/>
      <c r="R213" s="27"/>
      <c r="S213" s="27"/>
      <c r="T213" s="27"/>
      <c r="U213" s="27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</row>
    <row r="214" ht="13.6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27"/>
      <c r="O214" s="27"/>
      <c r="P214" s="27"/>
      <c r="Q214" s="27"/>
      <c r="R214" s="27"/>
      <c r="S214" s="27"/>
      <c r="T214" s="27"/>
      <c r="U214" s="27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</row>
    <row r="215" ht="13.6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27"/>
      <c r="O215" s="27"/>
      <c r="P215" s="27"/>
      <c r="Q215" s="27"/>
      <c r="R215" s="27"/>
      <c r="S215" s="27"/>
      <c r="T215" s="27"/>
      <c r="U215" s="27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</row>
    <row r="216" ht="13.6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27"/>
      <c r="O216" s="27"/>
      <c r="P216" s="27"/>
      <c r="Q216" s="27"/>
      <c r="R216" s="27"/>
      <c r="S216" s="27"/>
      <c r="T216" s="27"/>
      <c r="U216" s="27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</row>
    <row r="217" ht="13.6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27"/>
      <c r="O217" s="27"/>
      <c r="P217" s="27"/>
      <c r="Q217" s="27"/>
      <c r="R217" s="27"/>
      <c r="S217" s="27"/>
      <c r="T217" s="27"/>
      <c r="U217" s="27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</row>
    <row r="218" ht="13.6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27"/>
      <c r="O218" s="27"/>
      <c r="P218" s="27"/>
      <c r="Q218" s="27"/>
      <c r="R218" s="27"/>
      <c r="S218" s="27"/>
      <c r="T218" s="27"/>
      <c r="U218" s="27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</row>
    <row r="219" ht="13.6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27"/>
      <c r="O219" s="27"/>
      <c r="P219" s="27"/>
      <c r="Q219" s="27"/>
      <c r="R219" s="27"/>
      <c r="S219" s="27"/>
      <c r="T219" s="27"/>
      <c r="U219" s="27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</row>
    <row r="220" ht="13.6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27"/>
      <c r="O220" s="27"/>
      <c r="P220" s="27"/>
      <c r="Q220" s="27"/>
      <c r="R220" s="27"/>
      <c r="S220" s="27"/>
      <c r="T220" s="27"/>
      <c r="U220" s="27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</row>
    <row r="221" ht="13.6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27"/>
      <c r="O221" s="27"/>
      <c r="P221" s="27"/>
      <c r="Q221" s="27"/>
      <c r="R221" s="27"/>
      <c r="S221" s="27"/>
      <c r="T221" s="27"/>
      <c r="U221" s="27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</row>
    <row r="222" ht="13.6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27"/>
      <c r="O222" s="27"/>
      <c r="P222" s="27"/>
      <c r="Q222" s="27"/>
      <c r="R222" s="27"/>
      <c r="S222" s="27"/>
      <c r="T222" s="27"/>
      <c r="U222" s="27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</row>
    <row r="223" ht="13.6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27"/>
      <c r="O223" s="27"/>
      <c r="P223" s="27"/>
      <c r="Q223" s="27"/>
      <c r="R223" s="27"/>
      <c r="S223" s="27"/>
      <c r="T223" s="27"/>
      <c r="U223" s="27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</row>
    <row r="224" ht="13.6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27"/>
      <c r="O224" s="27"/>
      <c r="P224" s="27"/>
      <c r="Q224" s="27"/>
      <c r="R224" s="27"/>
      <c r="S224" s="27"/>
      <c r="T224" s="27"/>
      <c r="U224" s="27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</row>
    <row r="225" ht="13.6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27"/>
      <c r="O225" s="27"/>
      <c r="P225" s="27"/>
      <c r="Q225" s="27"/>
      <c r="R225" s="27"/>
      <c r="S225" s="27"/>
      <c r="T225" s="27"/>
      <c r="U225" s="27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</row>
    <row r="226" ht="13.6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27"/>
      <c r="O226" s="27"/>
      <c r="P226" s="27"/>
      <c r="Q226" s="27"/>
      <c r="R226" s="27"/>
      <c r="S226" s="27"/>
      <c r="T226" s="27"/>
      <c r="U226" s="27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</row>
    <row r="227" ht="13.6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27"/>
      <c r="O227" s="27"/>
      <c r="P227" s="27"/>
      <c r="Q227" s="27"/>
      <c r="R227" s="27"/>
      <c r="S227" s="27"/>
      <c r="T227" s="27"/>
      <c r="U227" s="27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</row>
    <row r="228" ht="13.6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27"/>
      <c r="O228" s="27"/>
      <c r="P228" s="27"/>
      <c r="Q228" s="27"/>
      <c r="R228" s="27"/>
      <c r="S228" s="27"/>
      <c r="T228" s="27"/>
      <c r="U228" s="27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</row>
    <row r="229" ht="13.6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27"/>
      <c r="O229" s="27"/>
      <c r="P229" s="27"/>
      <c r="Q229" s="27"/>
      <c r="R229" s="27"/>
      <c r="S229" s="27"/>
      <c r="T229" s="27"/>
      <c r="U229" s="27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</row>
    <row r="230" ht="13.6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27"/>
      <c r="O230" s="27"/>
      <c r="P230" s="27"/>
      <c r="Q230" s="27"/>
      <c r="R230" s="27"/>
      <c r="S230" s="27"/>
      <c r="T230" s="27"/>
      <c r="U230" s="27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</row>
    <row r="231" ht="13.6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27"/>
      <c r="O231" s="27"/>
      <c r="P231" s="27"/>
      <c r="Q231" s="27"/>
      <c r="R231" s="27"/>
      <c r="S231" s="27"/>
      <c r="T231" s="27"/>
      <c r="U231" s="27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</row>
    <row r="232" ht="13.6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27"/>
      <c r="O232" s="27"/>
      <c r="P232" s="27"/>
      <c r="Q232" s="27"/>
      <c r="R232" s="27"/>
      <c r="S232" s="27"/>
      <c r="T232" s="27"/>
      <c r="U232" s="27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</row>
    <row r="233" ht="13.6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27"/>
      <c r="O233" s="27"/>
      <c r="P233" s="27"/>
      <c r="Q233" s="27"/>
      <c r="R233" s="27"/>
      <c r="S233" s="27"/>
      <c r="T233" s="27"/>
      <c r="U233" s="27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</row>
    <row r="234" ht="13.6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27"/>
      <c r="O234" s="27"/>
      <c r="P234" s="27"/>
      <c r="Q234" s="27"/>
      <c r="R234" s="27"/>
      <c r="S234" s="27"/>
      <c r="T234" s="27"/>
      <c r="U234" s="27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</row>
    <row r="235" ht="13.6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27"/>
      <c r="O235" s="27"/>
      <c r="P235" s="27"/>
      <c r="Q235" s="27"/>
      <c r="R235" s="27"/>
      <c r="S235" s="27"/>
      <c r="T235" s="27"/>
      <c r="U235" s="27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</row>
    <row r="236" ht="13.6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27"/>
      <c r="O236" s="27"/>
      <c r="P236" s="27"/>
      <c r="Q236" s="27"/>
      <c r="R236" s="27"/>
      <c r="S236" s="27"/>
      <c r="T236" s="27"/>
      <c r="U236" s="27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</row>
    <row r="237" ht="13.6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27"/>
      <c r="O237" s="27"/>
      <c r="P237" s="27"/>
      <c r="Q237" s="27"/>
      <c r="R237" s="27"/>
      <c r="S237" s="27"/>
      <c r="T237" s="27"/>
      <c r="U237" s="27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</row>
    <row r="238" ht="13.6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27"/>
      <c r="O238" s="27"/>
      <c r="P238" s="27"/>
      <c r="Q238" s="27"/>
      <c r="R238" s="27"/>
      <c r="S238" s="27"/>
      <c r="T238" s="27"/>
      <c r="U238" s="27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</row>
    <row r="239" ht="13.6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27"/>
      <c r="O239" s="27"/>
      <c r="P239" s="27"/>
      <c r="Q239" s="27"/>
      <c r="R239" s="27"/>
      <c r="S239" s="27"/>
      <c r="T239" s="27"/>
      <c r="U239" s="27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</row>
    <row r="240" ht="13.6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27"/>
      <c r="O240" s="27"/>
      <c r="P240" s="27"/>
      <c r="Q240" s="27"/>
      <c r="R240" s="27"/>
      <c r="S240" s="27"/>
      <c r="T240" s="27"/>
      <c r="U240" s="27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</row>
    <row r="241" ht="13.6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27"/>
      <c r="O241" s="27"/>
      <c r="P241" s="27"/>
      <c r="Q241" s="27"/>
      <c r="R241" s="27"/>
      <c r="S241" s="27"/>
      <c r="T241" s="27"/>
      <c r="U241" s="27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</row>
    <row r="242" ht="13.6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27"/>
      <c r="O242" s="27"/>
      <c r="P242" s="27"/>
      <c r="Q242" s="27"/>
      <c r="R242" s="27"/>
      <c r="S242" s="27"/>
      <c r="T242" s="27"/>
      <c r="U242" s="27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</row>
    <row r="243" ht="13.6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27"/>
      <c r="O243" s="27"/>
      <c r="P243" s="27"/>
      <c r="Q243" s="27"/>
      <c r="R243" s="27"/>
      <c r="S243" s="27"/>
      <c r="T243" s="27"/>
      <c r="U243" s="27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</row>
    <row r="244" ht="13.6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27"/>
      <c r="O244" s="27"/>
      <c r="P244" s="27"/>
      <c r="Q244" s="27"/>
      <c r="R244" s="27"/>
      <c r="S244" s="27"/>
      <c r="T244" s="27"/>
      <c r="U244" s="27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</row>
    <row r="245" ht="13.6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27"/>
      <c r="O245" s="27"/>
      <c r="P245" s="27"/>
      <c r="Q245" s="27"/>
      <c r="R245" s="27"/>
      <c r="S245" s="27"/>
      <c r="T245" s="27"/>
      <c r="U245" s="27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</row>
    <row r="246" ht="13.6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27"/>
      <c r="O246" s="27"/>
      <c r="P246" s="27"/>
      <c r="Q246" s="27"/>
      <c r="R246" s="27"/>
      <c r="S246" s="27"/>
      <c r="T246" s="27"/>
      <c r="U246" s="27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</row>
    <row r="247" ht="13.6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27"/>
      <c r="O247" s="27"/>
      <c r="P247" s="27"/>
      <c r="Q247" s="27"/>
      <c r="R247" s="27"/>
      <c r="S247" s="27"/>
      <c r="T247" s="27"/>
      <c r="U247" s="27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</row>
    <row r="248" ht="13.6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27"/>
      <c r="O248" s="27"/>
      <c r="P248" s="27"/>
      <c r="Q248" s="27"/>
      <c r="R248" s="27"/>
      <c r="S248" s="27"/>
      <c r="T248" s="27"/>
      <c r="U248" s="27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</row>
    <row r="249" ht="13.6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27"/>
      <c r="O249" s="27"/>
      <c r="P249" s="27"/>
      <c r="Q249" s="27"/>
      <c r="R249" s="27"/>
      <c r="S249" s="27"/>
      <c r="T249" s="27"/>
      <c r="U249" s="27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</row>
    <row r="250" ht="13.6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27"/>
      <c r="O250" s="27"/>
      <c r="P250" s="27"/>
      <c r="Q250" s="27"/>
      <c r="R250" s="27"/>
      <c r="S250" s="27"/>
      <c r="T250" s="27"/>
      <c r="U250" s="27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</row>
    <row r="251" ht="13.6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27"/>
      <c r="O251" s="27"/>
      <c r="P251" s="27"/>
      <c r="Q251" s="27"/>
      <c r="R251" s="27"/>
      <c r="S251" s="27"/>
      <c r="T251" s="27"/>
      <c r="U251" s="27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</row>
    <row r="252" ht="13.6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27"/>
      <c r="O252" s="27"/>
      <c r="P252" s="27"/>
      <c r="Q252" s="27"/>
      <c r="R252" s="27"/>
      <c r="S252" s="27"/>
      <c r="T252" s="27"/>
      <c r="U252" s="27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</row>
    <row r="253" ht="13.6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27"/>
      <c r="O253" s="27"/>
      <c r="P253" s="27"/>
      <c r="Q253" s="27"/>
      <c r="R253" s="27"/>
      <c r="S253" s="27"/>
      <c r="T253" s="27"/>
      <c r="U253" s="27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</row>
    <row r="254" ht="13.6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27"/>
      <c r="O254" s="27"/>
      <c r="P254" s="27"/>
      <c r="Q254" s="27"/>
      <c r="R254" s="27"/>
      <c r="S254" s="27"/>
      <c r="T254" s="27"/>
      <c r="U254" s="27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</row>
    <row r="255" ht="13.6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27"/>
      <c r="O255" s="27"/>
      <c r="P255" s="27"/>
      <c r="Q255" s="27"/>
      <c r="R255" s="27"/>
      <c r="S255" s="27"/>
      <c r="T255" s="27"/>
      <c r="U255" s="27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</row>
    <row r="256" ht="13.6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27"/>
      <c r="O256" s="27"/>
      <c r="P256" s="27"/>
      <c r="Q256" s="27"/>
      <c r="R256" s="27"/>
      <c r="S256" s="27"/>
      <c r="T256" s="27"/>
      <c r="U256" s="27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</row>
    <row r="257" ht="13.6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27"/>
      <c r="O257" s="27"/>
      <c r="P257" s="27"/>
      <c r="Q257" s="27"/>
      <c r="R257" s="27"/>
      <c r="S257" s="27"/>
      <c r="T257" s="27"/>
      <c r="U257" s="27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</row>
    <row r="258" ht="13.6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27"/>
      <c r="O258" s="27"/>
      <c r="P258" s="27"/>
      <c r="Q258" s="27"/>
      <c r="R258" s="27"/>
      <c r="S258" s="27"/>
      <c r="T258" s="27"/>
      <c r="U258" s="27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</row>
    <row r="259" ht="13.6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27"/>
      <c r="O259" s="27"/>
      <c r="P259" s="27"/>
      <c r="Q259" s="27"/>
      <c r="R259" s="27"/>
      <c r="S259" s="27"/>
      <c r="T259" s="27"/>
      <c r="U259" s="27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</row>
    <row r="260" ht="13.6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27"/>
      <c r="O260" s="27"/>
      <c r="P260" s="27"/>
      <c r="Q260" s="27"/>
      <c r="R260" s="27"/>
      <c r="S260" s="27"/>
      <c r="T260" s="27"/>
      <c r="U260" s="27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</row>
    <row r="261" ht="13.6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27"/>
      <c r="O261" s="27"/>
      <c r="P261" s="27"/>
      <c r="Q261" s="27"/>
      <c r="R261" s="27"/>
      <c r="S261" s="27"/>
      <c r="T261" s="27"/>
      <c r="U261" s="27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</row>
    <row r="262" ht="13.6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27"/>
      <c r="O262" s="27"/>
      <c r="P262" s="27"/>
      <c r="Q262" s="27"/>
      <c r="R262" s="27"/>
      <c r="S262" s="27"/>
      <c r="T262" s="27"/>
      <c r="U262" s="27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</row>
    <row r="263" ht="13.6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27"/>
      <c r="O263" s="27"/>
      <c r="P263" s="27"/>
      <c r="Q263" s="27"/>
      <c r="R263" s="27"/>
      <c r="S263" s="27"/>
      <c r="T263" s="27"/>
      <c r="U263" s="27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</row>
    <row r="264" ht="13.6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27"/>
      <c r="O264" s="27"/>
      <c r="P264" s="27"/>
      <c r="Q264" s="27"/>
      <c r="R264" s="27"/>
      <c r="S264" s="27"/>
      <c r="T264" s="27"/>
      <c r="U264" s="27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</row>
    <row r="265" ht="13.6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27"/>
      <c r="O265" s="27"/>
      <c r="P265" s="27"/>
      <c r="Q265" s="27"/>
      <c r="R265" s="27"/>
      <c r="S265" s="27"/>
      <c r="T265" s="27"/>
      <c r="U265" s="27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</row>
    <row r="266" ht="13.6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27"/>
      <c r="O266" s="27"/>
      <c r="P266" s="27"/>
      <c r="Q266" s="27"/>
      <c r="R266" s="27"/>
      <c r="S266" s="27"/>
      <c r="T266" s="27"/>
      <c r="U266" s="27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</row>
    <row r="267" ht="13.6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27"/>
      <c r="O267" s="27"/>
      <c r="P267" s="27"/>
      <c r="Q267" s="27"/>
      <c r="R267" s="27"/>
      <c r="S267" s="27"/>
      <c r="T267" s="27"/>
      <c r="U267" s="27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</row>
    <row r="268" ht="13.6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27"/>
      <c r="O268" s="27"/>
      <c r="P268" s="27"/>
      <c r="Q268" s="27"/>
      <c r="R268" s="27"/>
      <c r="S268" s="27"/>
      <c r="T268" s="27"/>
      <c r="U268" s="27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</row>
    <row r="269" ht="13.6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27"/>
      <c r="O269" s="27"/>
      <c r="P269" s="27"/>
      <c r="Q269" s="27"/>
      <c r="R269" s="27"/>
      <c r="S269" s="27"/>
      <c r="T269" s="27"/>
      <c r="U269" s="27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</row>
    <row r="270" ht="13.6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27"/>
      <c r="O270" s="27"/>
      <c r="P270" s="27"/>
      <c r="Q270" s="27"/>
      <c r="R270" s="27"/>
      <c r="S270" s="27"/>
      <c r="T270" s="27"/>
      <c r="U270" s="27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</row>
    <row r="271" ht="13.6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27"/>
      <c r="O271" s="27"/>
      <c r="P271" s="27"/>
      <c r="Q271" s="27"/>
      <c r="R271" s="27"/>
      <c r="S271" s="27"/>
      <c r="T271" s="27"/>
      <c r="U271" s="27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</row>
    <row r="272" ht="13.6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27"/>
      <c r="O272" s="27"/>
      <c r="P272" s="27"/>
      <c r="Q272" s="27"/>
      <c r="R272" s="27"/>
      <c r="S272" s="27"/>
      <c r="T272" s="27"/>
      <c r="U272" s="27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</row>
    <row r="273" ht="13.6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27"/>
      <c r="O273" s="27"/>
      <c r="P273" s="27"/>
      <c r="Q273" s="27"/>
      <c r="R273" s="27"/>
      <c r="S273" s="27"/>
      <c r="T273" s="27"/>
      <c r="U273" s="27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</row>
    <row r="274" ht="13.6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27"/>
      <c r="O274" s="27"/>
      <c r="P274" s="27"/>
      <c r="Q274" s="27"/>
      <c r="R274" s="27"/>
      <c r="S274" s="27"/>
      <c r="T274" s="27"/>
      <c r="U274" s="27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</row>
    <row r="275" ht="13.6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27"/>
      <c r="O275" s="27"/>
      <c r="P275" s="27"/>
      <c r="Q275" s="27"/>
      <c r="R275" s="27"/>
      <c r="S275" s="27"/>
      <c r="T275" s="27"/>
      <c r="U275" s="27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</row>
    <row r="276" ht="13.6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27"/>
      <c r="O276" s="27"/>
      <c r="P276" s="27"/>
      <c r="Q276" s="27"/>
      <c r="R276" s="27"/>
      <c r="S276" s="27"/>
      <c r="T276" s="27"/>
      <c r="U276" s="27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</row>
    <row r="277" ht="13.6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27"/>
      <c r="O277" s="27"/>
      <c r="P277" s="27"/>
      <c r="Q277" s="27"/>
      <c r="R277" s="27"/>
      <c r="S277" s="27"/>
      <c r="T277" s="27"/>
      <c r="U277" s="27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</row>
    <row r="278" ht="13.6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27"/>
      <c r="O278" s="27"/>
      <c r="P278" s="27"/>
      <c r="Q278" s="27"/>
      <c r="R278" s="27"/>
      <c r="S278" s="27"/>
      <c r="T278" s="27"/>
      <c r="U278" s="27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</row>
    <row r="279" ht="13.6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27"/>
      <c r="O279" s="27"/>
      <c r="P279" s="27"/>
      <c r="Q279" s="27"/>
      <c r="R279" s="27"/>
      <c r="S279" s="27"/>
      <c r="T279" s="27"/>
      <c r="U279" s="27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</row>
    <row r="280" ht="13.6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27"/>
      <c r="O280" s="27"/>
      <c r="P280" s="27"/>
      <c r="Q280" s="27"/>
      <c r="R280" s="27"/>
      <c r="S280" s="27"/>
      <c r="T280" s="27"/>
      <c r="U280" s="27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</row>
    <row r="281" ht="13.6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27"/>
      <c r="O281" s="27"/>
      <c r="P281" s="27"/>
      <c r="Q281" s="27"/>
      <c r="R281" s="27"/>
      <c r="S281" s="27"/>
      <c r="T281" s="27"/>
      <c r="U281" s="27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</row>
    <row r="282" ht="13.6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27"/>
      <c r="O282" s="27"/>
      <c r="P282" s="27"/>
      <c r="Q282" s="27"/>
      <c r="R282" s="27"/>
      <c r="S282" s="27"/>
      <c r="T282" s="27"/>
      <c r="U282" s="27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</row>
    <row r="283" ht="13.6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27"/>
      <c r="O283" s="27"/>
      <c r="P283" s="27"/>
      <c r="Q283" s="27"/>
      <c r="R283" s="27"/>
      <c r="S283" s="27"/>
      <c r="T283" s="27"/>
      <c r="U283" s="27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</row>
    <row r="284" ht="13.6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27"/>
      <c r="O284" s="27"/>
      <c r="P284" s="27"/>
      <c r="Q284" s="27"/>
      <c r="R284" s="27"/>
      <c r="S284" s="27"/>
      <c r="T284" s="27"/>
      <c r="U284" s="27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</row>
    <row r="285" ht="13.6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27"/>
      <c r="O285" s="27"/>
      <c r="P285" s="27"/>
      <c r="Q285" s="27"/>
      <c r="R285" s="27"/>
      <c r="S285" s="27"/>
      <c r="T285" s="27"/>
      <c r="U285" s="27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</row>
    <row r="286" ht="13.6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27"/>
      <c r="O286" s="27"/>
      <c r="P286" s="27"/>
      <c r="Q286" s="27"/>
      <c r="R286" s="27"/>
      <c r="S286" s="27"/>
      <c r="T286" s="27"/>
      <c r="U286" s="27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</row>
    <row r="287" ht="13.6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27"/>
      <c r="O287" s="27"/>
      <c r="P287" s="27"/>
      <c r="Q287" s="27"/>
      <c r="R287" s="27"/>
      <c r="S287" s="27"/>
      <c r="T287" s="27"/>
      <c r="U287" s="27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</row>
    <row r="288" ht="13.6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27"/>
      <c r="O288" s="27"/>
      <c r="P288" s="27"/>
      <c r="Q288" s="27"/>
      <c r="R288" s="27"/>
      <c r="S288" s="27"/>
      <c r="T288" s="27"/>
      <c r="U288" s="27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</row>
    <row r="289" ht="13.6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27"/>
      <c r="O289" s="27"/>
      <c r="P289" s="27"/>
      <c r="Q289" s="27"/>
      <c r="R289" s="27"/>
      <c r="S289" s="27"/>
      <c r="T289" s="27"/>
      <c r="U289" s="27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</row>
    <row r="290" ht="13.6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27"/>
      <c r="O290" s="27"/>
      <c r="P290" s="27"/>
      <c r="Q290" s="27"/>
      <c r="R290" s="27"/>
      <c r="S290" s="27"/>
      <c r="T290" s="27"/>
      <c r="U290" s="27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</row>
    <row r="291" ht="13.6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27"/>
      <c r="O291" s="27"/>
      <c r="P291" s="27"/>
      <c r="Q291" s="27"/>
      <c r="R291" s="27"/>
      <c r="S291" s="27"/>
      <c r="T291" s="27"/>
      <c r="U291" s="27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</row>
    <row r="292" ht="13.6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27"/>
      <c r="O292" s="27"/>
      <c r="P292" s="27"/>
      <c r="Q292" s="27"/>
      <c r="R292" s="27"/>
      <c r="S292" s="27"/>
      <c r="T292" s="27"/>
      <c r="U292" s="27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</row>
    <row r="293" ht="13.6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27"/>
      <c r="O293" s="27"/>
      <c r="P293" s="27"/>
      <c r="Q293" s="27"/>
      <c r="R293" s="27"/>
      <c r="S293" s="27"/>
      <c r="T293" s="27"/>
      <c r="U293" s="27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</row>
    <row r="294" ht="13.6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27"/>
      <c r="O294" s="27"/>
      <c r="P294" s="27"/>
      <c r="Q294" s="27"/>
      <c r="R294" s="27"/>
      <c r="S294" s="27"/>
      <c r="T294" s="27"/>
      <c r="U294" s="27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</row>
    <row r="295" ht="13.6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27"/>
      <c r="O295" s="27"/>
      <c r="P295" s="27"/>
      <c r="Q295" s="27"/>
      <c r="R295" s="27"/>
      <c r="S295" s="27"/>
      <c r="T295" s="27"/>
      <c r="U295" s="27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</row>
    <row r="296" ht="13.6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27"/>
      <c r="O296" s="27"/>
      <c r="P296" s="27"/>
      <c r="Q296" s="27"/>
      <c r="R296" s="27"/>
      <c r="S296" s="27"/>
      <c r="T296" s="27"/>
      <c r="U296" s="27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</row>
    <row r="297" ht="13.6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27"/>
      <c r="O297" s="27"/>
      <c r="P297" s="27"/>
      <c r="Q297" s="27"/>
      <c r="R297" s="27"/>
      <c r="S297" s="27"/>
      <c r="T297" s="27"/>
      <c r="U297" s="27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</row>
    <row r="298" ht="13.6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27"/>
      <c r="O298" s="27"/>
      <c r="P298" s="27"/>
      <c r="Q298" s="27"/>
      <c r="R298" s="27"/>
      <c r="S298" s="27"/>
      <c r="T298" s="27"/>
      <c r="U298" s="27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</row>
    <row r="299" ht="13.6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27"/>
      <c r="O299" s="27"/>
      <c r="P299" s="27"/>
      <c r="Q299" s="27"/>
      <c r="R299" s="27"/>
      <c r="S299" s="27"/>
      <c r="T299" s="27"/>
      <c r="U299" s="27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</row>
    <row r="300" ht="13.6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27"/>
      <c r="O300" s="27"/>
      <c r="P300" s="27"/>
      <c r="Q300" s="27"/>
      <c r="R300" s="27"/>
      <c r="S300" s="27"/>
      <c r="T300" s="27"/>
      <c r="U300" s="27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</row>
    <row r="301" ht="13.6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27"/>
      <c r="O301" s="27"/>
      <c r="P301" s="27"/>
      <c r="Q301" s="27"/>
      <c r="R301" s="27"/>
      <c r="S301" s="27"/>
      <c r="T301" s="27"/>
      <c r="U301" s="27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</row>
    <row r="302" ht="13.6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27"/>
      <c r="O302" s="27"/>
      <c r="P302" s="27"/>
      <c r="Q302" s="27"/>
      <c r="R302" s="27"/>
      <c r="S302" s="27"/>
      <c r="T302" s="27"/>
      <c r="U302" s="27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</row>
    <row r="303" ht="13.6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27"/>
      <c r="O303" s="27"/>
      <c r="P303" s="27"/>
      <c r="Q303" s="27"/>
      <c r="R303" s="27"/>
      <c r="S303" s="27"/>
      <c r="T303" s="27"/>
      <c r="U303" s="27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 ht="13.6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27"/>
      <c r="O304" s="27"/>
      <c r="P304" s="27"/>
      <c r="Q304" s="27"/>
      <c r="R304" s="27"/>
      <c r="S304" s="27"/>
      <c r="T304" s="27"/>
      <c r="U304" s="27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</row>
    <row r="305" ht="13.6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27"/>
      <c r="O305" s="27"/>
      <c r="P305" s="27"/>
      <c r="Q305" s="27"/>
      <c r="R305" s="27"/>
      <c r="S305" s="27"/>
      <c r="T305" s="27"/>
      <c r="U305" s="27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 ht="13.6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27"/>
      <c r="O306" s="27"/>
      <c r="P306" s="27"/>
      <c r="Q306" s="27"/>
      <c r="R306" s="27"/>
      <c r="S306" s="27"/>
      <c r="T306" s="27"/>
      <c r="U306" s="27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</row>
    <row r="307" ht="13.6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27"/>
      <c r="O307" s="27"/>
      <c r="P307" s="27"/>
      <c r="Q307" s="27"/>
      <c r="R307" s="27"/>
      <c r="S307" s="27"/>
      <c r="T307" s="27"/>
      <c r="U307" s="27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 ht="13.6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27"/>
      <c r="O308" s="27"/>
      <c r="P308" s="27"/>
      <c r="Q308" s="27"/>
      <c r="R308" s="27"/>
      <c r="S308" s="27"/>
      <c r="T308" s="27"/>
      <c r="U308" s="27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 ht="13.6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27"/>
      <c r="O309" s="27"/>
      <c r="P309" s="27"/>
      <c r="Q309" s="27"/>
      <c r="R309" s="27"/>
      <c r="S309" s="27"/>
      <c r="T309" s="27"/>
      <c r="U309" s="27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ht="13.6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27"/>
      <c r="O310" s="27"/>
      <c r="P310" s="27"/>
      <c r="Q310" s="27"/>
      <c r="R310" s="27"/>
      <c r="S310" s="27"/>
      <c r="T310" s="27"/>
      <c r="U310" s="27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 ht="13.6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27"/>
      <c r="O311" s="27"/>
      <c r="P311" s="27"/>
      <c r="Q311" s="27"/>
      <c r="R311" s="27"/>
      <c r="S311" s="27"/>
      <c r="T311" s="27"/>
      <c r="U311" s="27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ht="13.6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27"/>
      <c r="O312" s="27"/>
      <c r="P312" s="27"/>
      <c r="Q312" s="27"/>
      <c r="R312" s="27"/>
      <c r="S312" s="27"/>
      <c r="T312" s="27"/>
      <c r="U312" s="27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 ht="13.6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27"/>
      <c r="O313" s="27"/>
      <c r="P313" s="27"/>
      <c r="Q313" s="27"/>
      <c r="R313" s="27"/>
      <c r="S313" s="27"/>
      <c r="T313" s="27"/>
      <c r="U313" s="27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ht="13.6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27"/>
      <c r="O314" s="27"/>
      <c r="P314" s="27"/>
      <c r="Q314" s="27"/>
      <c r="R314" s="27"/>
      <c r="S314" s="27"/>
      <c r="T314" s="27"/>
      <c r="U314" s="27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 ht="13.6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27"/>
      <c r="O315" s="27"/>
      <c r="P315" s="27"/>
      <c r="Q315" s="27"/>
      <c r="R315" s="27"/>
      <c r="S315" s="27"/>
      <c r="T315" s="27"/>
      <c r="U315" s="27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ht="13.6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27"/>
      <c r="O316" s="27"/>
      <c r="P316" s="27"/>
      <c r="Q316" s="27"/>
      <c r="R316" s="27"/>
      <c r="S316" s="27"/>
      <c r="T316" s="27"/>
      <c r="U316" s="27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 ht="13.6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27"/>
      <c r="O317" s="27"/>
      <c r="P317" s="27"/>
      <c r="Q317" s="27"/>
      <c r="R317" s="27"/>
      <c r="S317" s="27"/>
      <c r="T317" s="27"/>
      <c r="U317" s="27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ht="13.6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27"/>
      <c r="O318" s="27"/>
      <c r="P318" s="27"/>
      <c r="Q318" s="27"/>
      <c r="R318" s="27"/>
      <c r="S318" s="27"/>
      <c r="T318" s="27"/>
      <c r="U318" s="27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 ht="13.6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27"/>
      <c r="O319" s="27"/>
      <c r="P319" s="27"/>
      <c r="Q319" s="27"/>
      <c r="R319" s="27"/>
      <c r="S319" s="27"/>
      <c r="T319" s="27"/>
      <c r="U319" s="27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ht="13.6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27"/>
      <c r="O320" s="27"/>
      <c r="P320" s="27"/>
      <c r="Q320" s="27"/>
      <c r="R320" s="27"/>
      <c r="S320" s="27"/>
      <c r="T320" s="27"/>
      <c r="U320" s="27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 ht="13.6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27"/>
      <c r="O321" s="27"/>
      <c r="P321" s="27"/>
      <c r="Q321" s="27"/>
      <c r="R321" s="27"/>
      <c r="S321" s="27"/>
      <c r="T321" s="27"/>
      <c r="U321" s="27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ht="13.6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27"/>
      <c r="O322" s="27"/>
      <c r="P322" s="27"/>
      <c r="Q322" s="27"/>
      <c r="R322" s="27"/>
      <c r="S322" s="27"/>
      <c r="T322" s="27"/>
      <c r="U322" s="27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 ht="13.6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27"/>
      <c r="O323" s="27"/>
      <c r="P323" s="27"/>
      <c r="Q323" s="27"/>
      <c r="R323" s="27"/>
      <c r="S323" s="27"/>
      <c r="T323" s="27"/>
      <c r="U323" s="27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ht="13.6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27"/>
      <c r="O324" s="27"/>
      <c r="P324" s="27"/>
      <c r="Q324" s="27"/>
      <c r="R324" s="27"/>
      <c r="S324" s="27"/>
      <c r="T324" s="27"/>
      <c r="U324" s="27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 ht="13.6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27"/>
      <c r="O325" s="27"/>
      <c r="P325" s="27"/>
      <c r="Q325" s="27"/>
      <c r="R325" s="27"/>
      <c r="S325" s="27"/>
      <c r="T325" s="27"/>
      <c r="U325" s="27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ht="13.6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27"/>
      <c r="O326" s="27"/>
      <c r="P326" s="27"/>
      <c r="Q326" s="27"/>
      <c r="R326" s="27"/>
      <c r="S326" s="27"/>
      <c r="T326" s="27"/>
      <c r="U326" s="27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 ht="13.6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27"/>
      <c r="O327" s="27"/>
      <c r="P327" s="27"/>
      <c r="Q327" s="27"/>
      <c r="R327" s="27"/>
      <c r="S327" s="27"/>
      <c r="T327" s="27"/>
      <c r="U327" s="27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ht="13.6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27"/>
      <c r="O328" s="27"/>
      <c r="P328" s="27"/>
      <c r="Q328" s="27"/>
      <c r="R328" s="27"/>
      <c r="S328" s="27"/>
      <c r="T328" s="27"/>
      <c r="U328" s="27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 ht="13.6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27"/>
      <c r="O329" s="27"/>
      <c r="P329" s="27"/>
      <c r="Q329" s="27"/>
      <c r="R329" s="27"/>
      <c r="S329" s="27"/>
      <c r="T329" s="27"/>
      <c r="U329" s="27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ht="13.6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27"/>
      <c r="O330" s="27"/>
      <c r="P330" s="27"/>
      <c r="Q330" s="27"/>
      <c r="R330" s="27"/>
      <c r="S330" s="27"/>
      <c r="T330" s="27"/>
      <c r="U330" s="27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 ht="13.6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27"/>
      <c r="O331" s="27"/>
      <c r="P331" s="27"/>
      <c r="Q331" s="27"/>
      <c r="R331" s="27"/>
      <c r="S331" s="27"/>
      <c r="T331" s="27"/>
      <c r="U331" s="27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ht="13.6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27"/>
      <c r="O332" s="27"/>
      <c r="P332" s="27"/>
      <c r="Q332" s="27"/>
      <c r="R332" s="27"/>
      <c r="S332" s="27"/>
      <c r="T332" s="27"/>
      <c r="U332" s="27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 ht="13.6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27"/>
      <c r="O333" s="27"/>
      <c r="P333" s="27"/>
      <c r="Q333" s="27"/>
      <c r="R333" s="27"/>
      <c r="S333" s="27"/>
      <c r="T333" s="27"/>
      <c r="U333" s="27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ht="13.6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27"/>
      <c r="O334" s="27"/>
      <c r="P334" s="27"/>
      <c r="Q334" s="27"/>
      <c r="R334" s="27"/>
      <c r="S334" s="27"/>
      <c r="T334" s="27"/>
      <c r="U334" s="27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 ht="13.6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27"/>
      <c r="O335" s="27"/>
      <c r="P335" s="27"/>
      <c r="Q335" s="27"/>
      <c r="R335" s="27"/>
      <c r="S335" s="27"/>
      <c r="T335" s="27"/>
      <c r="U335" s="27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ht="13.6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27"/>
      <c r="O336" s="27"/>
      <c r="P336" s="27"/>
      <c r="Q336" s="27"/>
      <c r="R336" s="27"/>
      <c r="S336" s="27"/>
      <c r="T336" s="27"/>
      <c r="U336" s="27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 ht="13.6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27"/>
      <c r="O337" s="27"/>
      <c r="P337" s="27"/>
      <c r="Q337" s="27"/>
      <c r="R337" s="27"/>
      <c r="S337" s="27"/>
      <c r="T337" s="27"/>
      <c r="U337" s="27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ht="13.6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27"/>
      <c r="O338" s="27"/>
      <c r="P338" s="27"/>
      <c r="Q338" s="27"/>
      <c r="R338" s="27"/>
      <c r="S338" s="27"/>
      <c r="T338" s="27"/>
      <c r="U338" s="27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 ht="13.6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27"/>
      <c r="O339" s="27"/>
      <c r="P339" s="27"/>
      <c r="Q339" s="27"/>
      <c r="R339" s="27"/>
      <c r="S339" s="27"/>
      <c r="T339" s="27"/>
      <c r="U339" s="27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ht="13.6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27"/>
      <c r="O340" s="27"/>
      <c r="P340" s="27"/>
      <c r="Q340" s="27"/>
      <c r="R340" s="27"/>
      <c r="S340" s="27"/>
      <c r="T340" s="27"/>
      <c r="U340" s="27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 ht="13.6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27"/>
      <c r="O341" s="27"/>
      <c r="P341" s="27"/>
      <c r="Q341" s="27"/>
      <c r="R341" s="27"/>
      <c r="S341" s="27"/>
      <c r="T341" s="27"/>
      <c r="U341" s="27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ht="13.6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27"/>
      <c r="O342" s="27"/>
      <c r="P342" s="27"/>
      <c r="Q342" s="27"/>
      <c r="R342" s="27"/>
      <c r="S342" s="27"/>
      <c r="T342" s="27"/>
      <c r="U342" s="27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 ht="13.6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27"/>
      <c r="O343" s="27"/>
      <c r="P343" s="27"/>
      <c r="Q343" s="27"/>
      <c r="R343" s="27"/>
      <c r="S343" s="27"/>
      <c r="T343" s="27"/>
      <c r="U343" s="27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ht="13.6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27"/>
      <c r="O344" s="27"/>
      <c r="P344" s="27"/>
      <c r="Q344" s="27"/>
      <c r="R344" s="27"/>
      <c r="S344" s="27"/>
      <c r="T344" s="27"/>
      <c r="U344" s="27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 ht="13.6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27"/>
      <c r="O345" s="27"/>
      <c r="P345" s="27"/>
      <c r="Q345" s="27"/>
      <c r="R345" s="27"/>
      <c r="S345" s="27"/>
      <c r="T345" s="27"/>
      <c r="U345" s="27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ht="13.6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27"/>
      <c r="O346" s="27"/>
      <c r="P346" s="27"/>
      <c r="Q346" s="27"/>
      <c r="R346" s="27"/>
      <c r="S346" s="27"/>
      <c r="T346" s="27"/>
      <c r="U346" s="27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ht="13.6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27"/>
      <c r="O347" s="27"/>
      <c r="P347" s="27"/>
      <c r="Q347" s="27"/>
      <c r="R347" s="27"/>
      <c r="S347" s="27"/>
      <c r="T347" s="27"/>
      <c r="U347" s="27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ht="13.6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27"/>
      <c r="O348" s="27"/>
      <c r="P348" s="27"/>
      <c r="Q348" s="27"/>
      <c r="R348" s="27"/>
      <c r="S348" s="27"/>
      <c r="T348" s="27"/>
      <c r="U348" s="27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 ht="13.6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27"/>
      <c r="O349" s="27"/>
      <c r="P349" s="27"/>
      <c r="Q349" s="27"/>
      <c r="R349" s="27"/>
      <c r="S349" s="27"/>
      <c r="T349" s="27"/>
      <c r="U349" s="27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ht="13.6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27"/>
      <c r="O350" s="27"/>
      <c r="P350" s="27"/>
      <c r="Q350" s="27"/>
      <c r="R350" s="27"/>
      <c r="S350" s="27"/>
      <c r="T350" s="27"/>
      <c r="U350" s="27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 ht="13.6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27"/>
      <c r="O351" s="27"/>
      <c r="P351" s="27"/>
      <c r="Q351" s="27"/>
      <c r="R351" s="27"/>
      <c r="S351" s="27"/>
      <c r="T351" s="27"/>
      <c r="U351" s="27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ht="13.6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27"/>
      <c r="O352" s="27"/>
      <c r="P352" s="27"/>
      <c r="Q352" s="27"/>
      <c r="R352" s="27"/>
      <c r="S352" s="27"/>
      <c r="T352" s="27"/>
      <c r="U352" s="27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 ht="13.6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27"/>
      <c r="O353" s="27"/>
      <c r="P353" s="27"/>
      <c r="Q353" s="27"/>
      <c r="R353" s="27"/>
      <c r="S353" s="27"/>
      <c r="T353" s="27"/>
      <c r="U353" s="27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ht="13.6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27"/>
      <c r="O354" s="27"/>
      <c r="P354" s="27"/>
      <c r="Q354" s="27"/>
      <c r="R354" s="27"/>
      <c r="S354" s="27"/>
      <c r="T354" s="27"/>
      <c r="U354" s="27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 ht="13.6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27"/>
      <c r="O355" s="27"/>
      <c r="P355" s="27"/>
      <c r="Q355" s="27"/>
      <c r="R355" s="27"/>
      <c r="S355" s="27"/>
      <c r="T355" s="27"/>
      <c r="U355" s="27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ht="13.6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27"/>
      <c r="O356" s="27"/>
      <c r="P356" s="27"/>
      <c r="Q356" s="27"/>
      <c r="R356" s="27"/>
      <c r="S356" s="27"/>
      <c r="T356" s="27"/>
      <c r="U356" s="27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 ht="13.6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27"/>
      <c r="O357" s="27"/>
      <c r="P357" s="27"/>
      <c r="Q357" s="27"/>
      <c r="R357" s="27"/>
      <c r="S357" s="27"/>
      <c r="T357" s="27"/>
      <c r="U357" s="27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ht="13.6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27"/>
      <c r="O358" s="27"/>
      <c r="P358" s="27"/>
      <c r="Q358" s="27"/>
      <c r="R358" s="27"/>
      <c r="S358" s="27"/>
      <c r="T358" s="27"/>
      <c r="U358" s="27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 ht="13.6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27"/>
      <c r="O359" s="27"/>
      <c r="P359" s="27"/>
      <c r="Q359" s="27"/>
      <c r="R359" s="27"/>
      <c r="S359" s="27"/>
      <c r="T359" s="27"/>
      <c r="U359" s="27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ht="13.6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27"/>
      <c r="O360" s="27"/>
      <c r="P360" s="27"/>
      <c r="Q360" s="27"/>
      <c r="R360" s="27"/>
      <c r="S360" s="27"/>
      <c r="T360" s="27"/>
      <c r="U360" s="27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 ht="13.6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27"/>
      <c r="O361" s="27"/>
      <c r="P361" s="27"/>
      <c r="Q361" s="27"/>
      <c r="R361" s="27"/>
      <c r="S361" s="27"/>
      <c r="T361" s="27"/>
      <c r="U361" s="27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ht="13.6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27"/>
      <c r="O362" s="27"/>
      <c r="P362" s="27"/>
      <c r="Q362" s="27"/>
      <c r="R362" s="27"/>
      <c r="S362" s="27"/>
      <c r="T362" s="27"/>
      <c r="U362" s="27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 ht="13.6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27"/>
      <c r="O363" s="27"/>
      <c r="P363" s="27"/>
      <c r="Q363" s="27"/>
      <c r="R363" s="27"/>
      <c r="S363" s="27"/>
      <c r="T363" s="27"/>
      <c r="U363" s="27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ht="13.6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27"/>
      <c r="O364" s="27"/>
      <c r="P364" s="27"/>
      <c r="Q364" s="27"/>
      <c r="R364" s="27"/>
      <c r="S364" s="27"/>
      <c r="T364" s="27"/>
      <c r="U364" s="27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 ht="13.6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27"/>
      <c r="O365" s="27"/>
      <c r="P365" s="27"/>
      <c r="Q365" s="27"/>
      <c r="R365" s="27"/>
      <c r="S365" s="27"/>
      <c r="T365" s="27"/>
      <c r="U365" s="27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ht="13.6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27"/>
      <c r="O366" s="27"/>
      <c r="P366" s="27"/>
      <c r="Q366" s="27"/>
      <c r="R366" s="27"/>
      <c r="S366" s="27"/>
      <c r="T366" s="27"/>
      <c r="U366" s="27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 ht="13.6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27"/>
      <c r="O367" s="27"/>
      <c r="P367" s="27"/>
      <c r="Q367" s="27"/>
      <c r="R367" s="27"/>
      <c r="S367" s="27"/>
      <c r="T367" s="27"/>
      <c r="U367" s="27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ht="13.6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27"/>
      <c r="O368" s="27"/>
      <c r="P368" s="27"/>
      <c r="Q368" s="27"/>
      <c r="R368" s="27"/>
      <c r="S368" s="27"/>
      <c r="T368" s="27"/>
      <c r="U368" s="27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 ht="13.6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27"/>
      <c r="O369" s="27"/>
      <c r="P369" s="27"/>
      <c r="Q369" s="27"/>
      <c r="R369" s="27"/>
      <c r="S369" s="27"/>
      <c r="T369" s="27"/>
      <c r="U369" s="27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ht="13.6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27"/>
      <c r="O370" s="27"/>
      <c r="P370" s="27"/>
      <c r="Q370" s="27"/>
      <c r="R370" s="27"/>
      <c r="S370" s="27"/>
      <c r="T370" s="27"/>
      <c r="U370" s="27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 ht="13.6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27"/>
      <c r="O371" s="27"/>
      <c r="P371" s="27"/>
      <c r="Q371" s="27"/>
      <c r="R371" s="27"/>
      <c r="S371" s="27"/>
      <c r="T371" s="27"/>
      <c r="U371" s="27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ht="13.6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27"/>
      <c r="O372" s="27"/>
      <c r="P372" s="27"/>
      <c r="Q372" s="27"/>
      <c r="R372" s="27"/>
      <c r="S372" s="27"/>
      <c r="T372" s="27"/>
      <c r="U372" s="27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 ht="13.6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27"/>
      <c r="O373" s="27"/>
      <c r="P373" s="27"/>
      <c r="Q373" s="27"/>
      <c r="R373" s="27"/>
      <c r="S373" s="27"/>
      <c r="T373" s="27"/>
      <c r="U373" s="27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ht="13.6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27"/>
      <c r="O374" s="27"/>
      <c r="P374" s="27"/>
      <c r="Q374" s="27"/>
      <c r="R374" s="27"/>
      <c r="S374" s="27"/>
      <c r="T374" s="27"/>
      <c r="U374" s="27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 ht="13.6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27"/>
      <c r="O375" s="27"/>
      <c r="P375" s="27"/>
      <c r="Q375" s="27"/>
      <c r="R375" s="27"/>
      <c r="S375" s="27"/>
      <c r="T375" s="27"/>
      <c r="U375" s="27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ht="13.6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27"/>
      <c r="O376" s="27"/>
      <c r="P376" s="27"/>
      <c r="Q376" s="27"/>
      <c r="R376" s="27"/>
      <c r="S376" s="27"/>
      <c r="T376" s="27"/>
      <c r="U376" s="27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 ht="13.6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27"/>
      <c r="O377" s="27"/>
      <c r="P377" s="27"/>
      <c r="Q377" s="27"/>
      <c r="R377" s="27"/>
      <c r="S377" s="27"/>
      <c r="T377" s="27"/>
      <c r="U377" s="27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ht="13.6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27"/>
      <c r="O378" s="27"/>
      <c r="P378" s="27"/>
      <c r="Q378" s="27"/>
      <c r="R378" s="27"/>
      <c r="S378" s="27"/>
      <c r="T378" s="27"/>
      <c r="U378" s="27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 ht="13.6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27"/>
      <c r="O379" s="27"/>
      <c r="P379" s="27"/>
      <c r="Q379" s="27"/>
      <c r="R379" s="27"/>
      <c r="S379" s="27"/>
      <c r="T379" s="27"/>
      <c r="U379" s="27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ht="13.6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27"/>
      <c r="O380" s="27"/>
      <c r="P380" s="27"/>
      <c r="Q380" s="27"/>
      <c r="R380" s="27"/>
      <c r="S380" s="27"/>
      <c r="T380" s="27"/>
      <c r="U380" s="27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 ht="13.6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27"/>
      <c r="O381" s="27"/>
      <c r="P381" s="27"/>
      <c r="Q381" s="27"/>
      <c r="R381" s="27"/>
      <c r="S381" s="27"/>
      <c r="T381" s="27"/>
      <c r="U381" s="27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ht="13.6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27"/>
      <c r="O382" s="27"/>
      <c r="P382" s="27"/>
      <c r="Q382" s="27"/>
      <c r="R382" s="27"/>
      <c r="S382" s="27"/>
      <c r="T382" s="27"/>
      <c r="U382" s="27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 ht="13.6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27"/>
      <c r="O383" s="27"/>
      <c r="P383" s="27"/>
      <c r="Q383" s="27"/>
      <c r="R383" s="27"/>
      <c r="S383" s="27"/>
      <c r="T383" s="27"/>
      <c r="U383" s="27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ht="13.6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27"/>
      <c r="O384" s="27"/>
      <c r="P384" s="27"/>
      <c r="Q384" s="27"/>
      <c r="R384" s="27"/>
      <c r="S384" s="27"/>
      <c r="T384" s="27"/>
      <c r="U384" s="27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 ht="13.6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27"/>
      <c r="O385" s="27"/>
      <c r="P385" s="27"/>
      <c r="Q385" s="27"/>
      <c r="R385" s="27"/>
      <c r="S385" s="27"/>
      <c r="T385" s="27"/>
      <c r="U385" s="27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ht="13.6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27"/>
      <c r="O386" s="27"/>
      <c r="P386" s="27"/>
      <c r="Q386" s="27"/>
      <c r="R386" s="27"/>
      <c r="S386" s="27"/>
      <c r="T386" s="27"/>
      <c r="U386" s="27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 ht="13.6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27"/>
      <c r="O387" s="27"/>
      <c r="P387" s="27"/>
      <c r="Q387" s="27"/>
      <c r="R387" s="27"/>
      <c r="S387" s="27"/>
      <c r="T387" s="27"/>
      <c r="U387" s="27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ht="13.6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27"/>
      <c r="O388" s="27"/>
      <c r="P388" s="27"/>
      <c r="Q388" s="27"/>
      <c r="R388" s="27"/>
      <c r="S388" s="27"/>
      <c r="T388" s="27"/>
      <c r="U388" s="27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 ht="13.6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27"/>
      <c r="O389" s="27"/>
      <c r="P389" s="27"/>
      <c r="Q389" s="27"/>
      <c r="R389" s="27"/>
      <c r="S389" s="27"/>
      <c r="T389" s="27"/>
      <c r="U389" s="27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ht="13.6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27"/>
      <c r="O390" s="27"/>
      <c r="P390" s="27"/>
      <c r="Q390" s="27"/>
      <c r="R390" s="27"/>
      <c r="S390" s="27"/>
      <c r="T390" s="27"/>
      <c r="U390" s="27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 ht="13.6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27"/>
      <c r="O391" s="27"/>
      <c r="P391" s="27"/>
      <c r="Q391" s="27"/>
      <c r="R391" s="27"/>
      <c r="S391" s="27"/>
      <c r="T391" s="27"/>
      <c r="U391" s="27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ht="13.6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27"/>
      <c r="O392" s="27"/>
      <c r="P392" s="27"/>
      <c r="Q392" s="27"/>
      <c r="R392" s="27"/>
      <c r="S392" s="27"/>
      <c r="T392" s="27"/>
      <c r="U392" s="27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</row>
    <row r="393" ht="13.6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27"/>
      <c r="O393" s="27"/>
      <c r="P393" s="27"/>
      <c r="Q393" s="27"/>
      <c r="R393" s="27"/>
      <c r="S393" s="27"/>
      <c r="T393" s="27"/>
      <c r="U393" s="27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 ht="13.6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27"/>
      <c r="O394" s="27"/>
      <c r="P394" s="27"/>
      <c r="Q394" s="27"/>
      <c r="R394" s="27"/>
      <c r="S394" s="27"/>
      <c r="T394" s="27"/>
      <c r="U394" s="27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</row>
    <row r="395" ht="13.6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27"/>
      <c r="O395" s="27"/>
      <c r="P395" s="27"/>
      <c r="Q395" s="27"/>
      <c r="R395" s="27"/>
      <c r="S395" s="27"/>
      <c r="T395" s="27"/>
      <c r="U395" s="27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 ht="13.6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27"/>
      <c r="O396" s="27"/>
      <c r="P396" s="27"/>
      <c r="Q396" s="27"/>
      <c r="R396" s="27"/>
      <c r="S396" s="27"/>
      <c r="T396" s="27"/>
      <c r="U396" s="27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</row>
    <row r="397" ht="13.6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27"/>
      <c r="O397" s="27"/>
      <c r="P397" s="27"/>
      <c r="Q397" s="27"/>
      <c r="R397" s="27"/>
      <c r="S397" s="27"/>
      <c r="T397" s="27"/>
      <c r="U397" s="27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 ht="13.6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27"/>
      <c r="O398" s="27"/>
      <c r="P398" s="27"/>
      <c r="Q398" s="27"/>
      <c r="R398" s="27"/>
      <c r="S398" s="27"/>
      <c r="T398" s="27"/>
      <c r="U398" s="27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</row>
    <row r="399" ht="13.6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27"/>
      <c r="O399" s="27"/>
      <c r="P399" s="27"/>
      <c r="Q399" s="27"/>
      <c r="R399" s="27"/>
      <c r="S399" s="27"/>
      <c r="T399" s="27"/>
      <c r="U399" s="27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 ht="13.6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27"/>
      <c r="O400" s="27"/>
      <c r="P400" s="27"/>
      <c r="Q400" s="27"/>
      <c r="R400" s="27"/>
      <c r="S400" s="27"/>
      <c r="T400" s="27"/>
      <c r="U400" s="27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</row>
    <row r="401" ht="13.6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27"/>
      <c r="O401" s="27"/>
      <c r="P401" s="27"/>
      <c r="Q401" s="27"/>
      <c r="R401" s="27"/>
      <c r="S401" s="27"/>
      <c r="T401" s="27"/>
      <c r="U401" s="27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 ht="13.6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27"/>
      <c r="O402" s="27"/>
      <c r="P402" s="27"/>
      <c r="Q402" s="27"/>
      <c r="R402" s="27"/>
      <c r="S402" s="27"/>
      <c r="T402" s="27"/>
      <c r="U402" s="27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</row>
    <row r="403" ht="13.6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27"/>
      <c r="O403" s="27"/>
      <c r="P403" s="27"/>
      <c r="Q403" s="27"/>
      <c r="R403" s="27"/>
      <c r="S403" s="27"/>
      <c r="T403" s="27"/>
      <c r="U403" s="27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 ht="13.6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27"/>
      <c r="O404" s="27"/>
      <c r="P404" s="27"/>
      <c r="Q404" s="27"/>
      <c r="R404" s="27"/>
      <c r="S404" s="27"/>
      <c r="T404" s="27"/>
      <c r="U404" s="27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</row>
    <row r="405" ht="13.6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27"/>
      <c r="O405" s="27"/>
      <c r="P405" s="27"/>
      <c r="Q405" s="27"/>
      <c r="R405" s="27"/>
      <c r="S405" s="27"/>
      <c r="T405" s="27"/>
      <c r="U405" s="27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 ht="13.6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27"/>
      <c r="O406" s="27"/>
      <c r="P406" s="27"/>
      <c r="Q406" s="27"/>
      <c r="R406" s="27"/>
      <c r="S406" s="27"/>
      <c r="T406" s="27"/>
      <c r="U406" s="27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</row>
    <row r="407" ht="13.6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27"/>
      <c r="O407" s="27"/>
      <c r="P407" s="27"/>
      <c r="Q407" s="27"/>
      <c r="R407" s="27"/>
      <c r="S407" s="27"/>
      <c r="T407" s="27"/>
      <c r="U407" s="27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 ht="13.6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27"/>
      <c r="O408" s="27"/>
      <c r="P408" s="27"/>
      <c r="Q408" s="27"/>
      <c r="R408" s="27"/>
      <c r="S408" s="27"/>
      <c r="T408" s="27"/>
      <c r="U408" s="27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</row>
    <row r="409" ht="13.6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27"/>
      <c r="O409" s="27"/>
      <c r="P409" s="27"/>
      <c r="Q409" s="27"/>
      <c r="R409" s="27"/>
      <c r="S409" s="27"/>
      <c r="T409" s="27"/>
      <c r="U409" s="27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 ht="13.6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27"/>
      <c r="O410" s="27"/>
      <c r="P410" s="27"/>
      <c r="Q410" s="27"/>
      <c r="R410" s="27"/>
      <c r="S410" s="27"/>
      <c r="T410" s="27"/>
      <c r="U410" s="27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</row>
    <row r="411" ht="13.6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27"/>
      <c r="O411" s="27"/>
      <c r="P411" s="27"/>
      <c r="Q411" s="27"/>
      <c r="R411" s="27"/>
      <c r="S411" s="27"/>
      <c r="T411" s="27"/>
      <c r="U411" s="27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 ht="13.6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27"/>
      <c r="O412" s="27"/>
      <c r="P412" s="27"/>
      <c r="Q412" s="27"/>
      <c r="R412" s="27"/>
      <c r="S412" s="27"/>
      <c r="T412" s="27"/>
      <c r="U412" s="27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</row>
    <row r="413" ht="13.6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27"/>
      <c r="O413" s="27"/>
      <c r="P413" s="27"/>
      <c r="Q413" s="27"/>
      <c r="R413" s="27"/>
      <c r="S413" s="27"/>
      <c r="T413" s="27"/>
      <c r="U413" s="27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 ht="13.6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27"/>
      <c r="O414" s="27"/>
      <c r="P414" s="27"/>
      <c r="Q414" s="27"/>
      <c r="R414" s="27"/>
      <c r="S414" s="27"/>
      <c r="T414" s="27"/>
      <c r="U414" s="27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</row>
    <row r="415" ht="13.6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27"/>
      <c r="O415" s="27"/>
      <c r="P415" s="27"/>
      <c r="Q415" s="27"/>
      <c r="R415" s="27"/>
      <c r="S415" s="27"/>
      <c r="T415" s="27"/>
      <c r="U415" s="27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 ht="13.6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27"/>
      <c r="O416" s="27"/>
      <c r="P416" s="27"/>
      <c r="Q416" s="27"/>
      <c r="R416" s="27"/>
      <c r="S416" s="27"/>
      <c r="T416" s="27"/>
      <c r="U416" s="27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</row>
    <row r="417" ht="13.6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27"/>
      <c r="O417" s="27"/>
      <c r="P417" s="27"/>
      <c r="Q417" s="27"/>
      <c r="R417" s="27"/>
      <c r="S417" s="27"/>
      <c r="T417" s="27"/>
      <c r="U417" s="27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 ht="13.6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27"/>
      <c r="O418" s="27"/>
      <c r="P418" s="27"/>
      <c r="Q418" s="27"/>
      <c r="R418" s="27"/>
      <c r="S418" s="27"/>
      <c r="T418" s="27"/>
      <c r="U418" s="27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</row>
    <row r="419" ht="13.6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27"/>
      <c r="O419" s="27"/>
      <c r="P419" s="27"/>
      <c r="Q419" s="27"/>
      <c r="R419" s="27"/>
      <c r="S419" s="27"/>
      <c r="T419" s="27"/>
      <c r="U419" s="27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 ht="13.6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27"/>
      <c r="O420" s="27"/>
      <c r="P420" s="27"/>
      <c r="Q420" s="27"/>
      <c r="R420" s="27"/>
      <c r="S420" s="27"/>
      <c r="T420" s="27"/>
      <c r="U420" s="27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</row>
    <row r="421" ht="13.6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27"/>
      <c r="O421" s="27"/>
      <c r="P421" s="27"/>
      <c r="Q421" s="27"/>
      <c r="R421" s="27"/>
      <c r="S421" s="27"/>
      <c r="T421" s="27"/>
      <c r="U421" s="27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 ht="13.6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27"/>
      <c r="O422" s="27"/>
      <c r="P422" s="27"/>
      <c r="Q422" s="27"/>
      <c r="R422" s="27"/>
      <c r="S422" s="27"/>
      <c r="T422" s="27"/>
      <c r="U422" s="27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</row>
    <row r="423" ht="13.6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27"/>
      <c r="O423" s="27"/>
      <c r="P423" s="27"/>
      <c r="Q423" s="27"/>
      <c r="R423" s="27"/>
      <c r="S423" s="27"/>
      <c r="T423" s="27"/>
      <c r="U423" s="27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 ht="13.6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27"/>
      <c r="O424" s="27"/>
      <c r="P424" s="27"/>
      <c r="Q424" s="27"/>
      <c r="R424" s="27"/>
      <c r="S424" s="27"/>
      <c r="T424" s="27"/>
      <c r="U424" s="27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</row>
    <row r="425" ht="13.6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27"/>
      <c r="O425" s="27"/>
      <c r="P425" s="27"/>
      <c r="Q425" s="27"/>
      <c r="R425" s="27"/>
      <c r="S425" s="27"/>
      <c r="T425" s="27"/>
      <c r="U425" s="27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 ht="13.6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27"/>
      <c r="O426" s="27"/>
      <c r="P426" s="27"/>
      <c r="Q426" s="27"/>
      <c r="R426" s="27"/>
      <c r="S426" s="27"/>
      <c r="T426" s="27"/>
      <c r="U426" s="27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</row>
    <row r="427" ht="13.6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27"/>
      <c r="O427" s="27"/>
      <c r="P427" s="27"/>
      <c r="Q427" s="27"/>
      <c r="R427" s="27"/>
      <c r="S427" s="27"/>
      <c r="T427" s="27"/>
      <c r="U427" s="27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 ht="13.6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27"/>
      <c r="O428" s="27"/>
      <c r="P428" s="27"/>
      <c r="Q428" s="27"/>
      <c r="R428" s="27"/>
      <c r="S428" s="27"/>
      <c r="T428" s="27"/>
      <c r="U428" s="27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</row>
    <row r="429" ht="13.6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27"/>
      <c r="O429" s="27"/>
      <c r="P429" s="27"/>
      <c r="Q429" s="27"/>
      <c r="R429" s="27"/>
      <c r="S429" s="27"/>
      <c r="T429" s="27"/>
      <c r="U429" s="27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 ht="13.6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27"/>
      <c r="O430" s="27"/>
      <c r="P430" s="27"/>
      <c r="Q430" s="27"/>
      <c r="R430" s="27"/>
      <c r="S430" s="27"/>
      <c r="T430" s="27"/>
      <c r="U430" s="27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</row>
    <row r="431" ht="13.6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27"/>
      <c r="O431" s="27"/>
      <c r="P431" s="27"/>
      <c r="Q431" s="27"/>
      <c r="R431" s="27"/>
      <c r="S431" s="27"/>
      <c r="T431" s="27"/>
      <c r="U431" s="27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 ht="13.6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27"/>
      <c r="O432" s="27"/>
      <c r="P432" s="27"/>
      <c r="Q432" s="27"/>
      <c r="R432" s="27"/>
      <c r="S432" s="27"/>
      <c r="T432" s="27"/>
      <c r="U432" s="27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</row>
    <row r="433" ht="13.6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27"/>
      <c r="O433" s="27"/>
      <c r="P433" s="27"/>
      <c r="Q433" s="27"/>
      <c r="R433" s="27"/>
      <c r="S433" s="27"/>
      <c r="T433" s="27"/>
      <c r="U433" s="27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 ht="13.6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27"/>
      <c r="O434" s="27"/>
      <c r="P434" s="27"/>
      <c r="Q434" s="27"/>
      <c r="R434" s="27"/>
      <c r="S434" s="27"/>
      <c r="T434" s="27"/>
      <c r="U434" s="27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</row>
    <row r="435" ht="13.6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27"/>
      <c r="O435" s="27"/>
      <c r="P435" s="27"/>
      <c r="Q435" s="27"/>
      <c r="R435" s="27"/>
      <c r="S435" s="27"/>
      <c r="T435" s="27"/>
      <c r="U435" s="27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 ht="13.6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27"/>
      <c r="O436" s="27"/>
      <c r="P436" s="27"/>
      <c r="Q436" s="27"/>
      <c r="R436" s="27"/>
      <c r="S436" s="27"/>
      <c r="T436" s="27"/>
      <c r="U436" s="27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</row>
    <row r="437" ht="13.6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27"/>
      <c r="O437" s="27"/>
      <c r="P437" s="27"/>
      <c r="Q437" s="27"/>
      <c r="R437" s="27"/>
      <c r="S437" s="27"/>
      <c r="T437" s="27"/>
      <c r="U437" s="27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 ht="13.6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27"/>
      <c r="O438" s="27"/>
      <c r="P438" s="27"/>
      <c r="Q438" s="27"/>
      <c r="R438" s="27"/>
      <c r="S438" s="27"/>
      <c r="T438" s="27"/>
      <c r="U438" s="27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</row>
    <row r="439" ht="13.6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27"/>
      <c r="O439" s="27"/>
      <c r="P439" s="27"/>
      <c r="Q439" s="27"/>
      <c r="R439" s="27"/>
      <c r="S439" s="27"/>
      <c r="T439" s="27"/>
      <c r="U439" s="27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 ht="13.6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27"/>
      <c r="O440" s="27"/>
      <c r="P440" s="27"/>
      <c r="Q440" s="27"/>
      <c r="R440" s="27"/>
      <c r="S440" s="27"/>
      <c r="T440" s="27"/>
      <c r="U440" s="27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</row>
    <row r="441" ht="13.6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27"/>
      <c r="O441" s="27"/>
      <c r="P441" s="27"/>
      <c r="Q441" s="27"/>
      <c r="R441" s="27"/>
      <c r="S441" s="27"/>
      <c r="T441" s="27"/>
      <c r="U441" s="27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 ht="13.6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27"/>
      <c r="O442" s="27"/>
      <c r="P442" s="27"/>
      <c r="Q442" s="27"/>
      <c r="R442" s="27"/>
      <c r="S442" s="27"/>
      <c r="T442" s="27"/>
      <c r="U442" s="27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</row>
    <row r="443" ht="13.6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27"/>
      <c r="O443" s="27"/>
      <c r="P443" s="27"/>
      <c r="Q443" s="27"/>
      <c r="R443" s="27"/>
      <c r="S443" s="27"/>
      <c r="T443" s="27"/>
      <c r="U443" s="27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 ht="13.6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27"/>
      <c r="O444" s="27"/>
      <c r="P444" s="27"/>
      <c r="Q444" s="27"/>
      <c r="R444" s="27"/>
      <c r="S444" s="27"/>
      <c r="T444" s="27"/>
      <c r="U444" s="27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</row>
    <row r="445" ht="13.6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27"/>
      <c r="O445" s="27"/>
      <c r="P445" s="27"/>
      <c r="Q445" s="27"/>
      <c r="R445" s="27"/>
      <c r="S445" s="27"/>
      <c r="T445" s="27"/>
      <c r="U445" s="27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 ht="13.6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27"/>
      <c r="O446" s="27"/>
      <c r="P446" s="27"/>
      <c r="Q446" s="27"/>
      <c r="R446" s="27"/>
      <c r="S446" s="27"/>
      <c r="T446" s="27"/>
      <c r="U446" s="27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</row>
    <row r="447" ht="13.6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27"/>
      <c r="O447" s="27"/>
      <c r="P447" s="27"/>
      <c r="Q447" s="27"/>
      <c r="R447" s="27"/>
      <c r="S447" s="27"/>
      <c r="T447" s="27"/>
      <c r="U447" s="27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 ht="13.6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27"/>
      <c r="O448" s="27"/>
      <c r="P448" s="27"/>
      <c r="Q448" s="27"/>
      <c r="R448" s="27"/>
      <c r="S448" s="27"/>
      <c r="T448" s="27"/>
      <c r="U448" s="27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</row>
    <row r="449" ht="13.6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27"/>
      <c r="O449" s="27"/>
      <c r="P449" s="27"/>
      <c r="Q449" s="27"/>
      <c r="R449" s="27"/>
      <c r="S449" s="27"/>
      <c r="T449" s="27"/>
      <c r="U449" s="27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 ht="13.6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27"/>
      <c r="O450" s="27"/>
      <c r="P450" s="27"/>
      <c r="Q450" s="27"/>
      <c r="R450" s="27"/>
      <c r="S450" s="27"/>
      <c r="T450" s="27"/>
      <c r="U450" s="27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</row>
    <row r="451" ht="13.6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27"/>
      <c r="O451" s="27"/>
      <c r="P451" s="27"/>
      <c r="Q451" s="27"/>
      <c r="R451" s="27"/>
      <c r="S451" s="27"/>
      <c r="T451" s="27"/>
      <c r="U451" s="27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 ht="13.6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27"/>
      <c r="O452" s="27"/>
      <c r="P452" s="27"/>
      <c r="Q452" s="27"/>
      <c r="R452" s="27"/>
      <c r="S452" s="27"/>
      <c r="T452" s="27"/>
      <c r="U452" s="27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</row>
    <row r="453" ht="13.6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27"/>
      <c r="O453" s="27"/>
      <c r="P453" s="27"/>
      <c r="Q453" s="27"/>
      <c r="R453" s="27"/>
      <c r="S453" s="27"/>
      <c r="T453" s="27"/>
      <c r="U453" s="27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 ht="13.6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27"/>
      <c r="O454" s="27"/>
      <c r="P454" s="27"/>
      <c r="Q454" s="27"/>
      <c r="R454" s="27"/>
      <c r="S454" s="27"/>
      <c r="T454" s="27"/>
      <c r="U454" s="27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</row>
    <row r="455" ht="13.6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27"/>
      <c r="O455" s="27"/>
      <c r="P455" s="27"/>
      <c r="Q455" s="27"/>
      <c r="R455" s="27"/>
      <c r="S455" s="27"/>
      <c r="T455" s="27"/>
      <c r="U455" s="27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 ht="13.6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27"/>
      <c r="O456" s="27"/>
      <c r="P456" s="27"/>
      <c r="Q456" s="27"/>
      <c r="R456" s="27"/>
      <c r="S456" s="27"/>
      <c r="T456" s="27"/>
      <c r="U456" s="27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</row>
    <row r="457" ht="13.6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27"/>
      <c r="O457" s="27"/>
      <c r="P457" s="27"/>
      <c r="Q457" s="27"/>
      <c r="R457" s="27"/>
      <c r="S457" s="27"/>
      <c r="T457" s="27"/>
      <c r="U457" s="27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 ht="13.6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27"/>
      <c r="O458" s="27"/>
      <c r="P458" s="27"/>
      <c r="Q458" s="27"/>
      <c r="R458" s="27"/>
      <c r="S458" s="27"/>
      <c r="T458" s="27"/>
      <c r="U458" s="27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</row>
    <row r="459" ht="13.6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27"/>
      <c r="O459" s="27"/>
      <c r="P459" s="27"/>
      <c r="Q459" s="27"/>
      <c r="R459" s="27"/>
      <c r="S459" s="27"/>
      <c r="T459" s="27"/>
      <c r="U459" s="27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 ht="13.6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27"/>
      <c r="O460" s="27"/>
      <c r="P460" s="27"/>
      <c r="Q460" s="27"/>
      <c r="R460" s="27"/>
      <c r="S460" s="27"/>
      <c r="T460" s="27"/>
      <c r="U460" s="27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</row>
    <row r="461" ht="13.6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27"/>
      <c r="O461" s="27"/>
      <c r="P461" s="27"/>
      <c r="Q461" s="27"/>
      <c r="R461" s="27"/>
      <c r="S461" s="27"/>
      <c r="T461" s="27"/>
      <c r="U461" s="27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 ht="13.6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27"/>
      <c r="O462" s="27"/>
      <c r="P462" s="27"/>
      <c r="Q462" s="27"/>
      <c r="R462" s="27"/>
      <c r="S462" s="27"/>
      <c r="T462" s="27"/>
      <c r="U462" s="27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</row>
    <row r="463" ht="13.6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27"/>
      <c r="O463" s="27"/>
      <c r="P463" s="27"/>
      <c r="Q463" s="27"/>
      <c r="R463" s="27"/>
      <c r="S463" s="27"/>
      <c r="T463" s="27"/>
      <c r="U463" s="27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 ht="13.6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27"/>
      <c r="O464" s="27"/>
      <c r="P464" s="27"/>
      <c r="Q464" s="27"/>
      <c r="R464" s="27"/>
      <c r="S464" s="27"/>
      <c r="T464" s="27"/>
      <c r="U464" s="27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</row>
    <row r="465" ht="13.6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27"/>
      <c r="O465" s="27"/>
      <c r="P465" s="27"/>
      <c r="Q465" s="27"/>
      <c r="R465" s="27"/>
      <c r="S465" s="27"/>
      <c r="T465" s="27"/>
      <c r="U465" s="27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 ht="13.6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27"/>
      <c r="O466" s="27"/>
      <c r="P466" s="27"/>
      <c r="Q466" s="27"/>
      <c r="R466" s="27"/>
      <c r="S466" s="27"/>
      <c r="T466" s="27"/>
      <c r="U466" s="27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</row>
    <row r="467" ht="13.6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27"/>
      <c r="O467" s="27"/>
      <c r="P467" s="27"/>
      <c r="Q467" s="27"/>
      <c r="R467" s="27"/>
      <c r="S467" s="27"/>
      <c r="T467" s="27"/>
      <c r="U467" s="27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ht="13.6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27"/>
      <c r="O468" s="27"/>
      <c r="P468" s="27"/>
      <c r="Q468" s="27"/>
      <c r="R468" s="27"/>
      <c r="S468" s="27"/>
      <c r="T468" s="27"/>
      <c r="U468" s="27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</row>
    <row r="469" ht="13.6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27"/>
      <c r="O469" s="27"/>
      <c r="P469" s="27"/>
      <c r="Q469" s="27"/>
      <c r="R469" s="27"/>
      <c r="S469" s="27"/>
      <c r="T469" s="27"/>
      <c r="U469" s="27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ht="13.6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27"/>
      <c r="O470" s="27"/>
      <c r="P470" s="27"/>
      <c r="Q470" s="27"/>
      <c r="R470" s="27"/>
      <c r="S470" s="27"/>
      <c r="T470" s="27"/>
      <c r="U470" s="27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</row>
    <row r="471" ht="13.6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27"/>
      <c r="O471" s="27"/>
      <c r="P471" s="27"/>
      <c r="Q471" s="27"/>
      <c r="R471" s="27"/>
      <c r="S471" s="27"/>
      <c r="T471" s="27"/>
      <c r="U471" s="27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ht="13.6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27"/>
      <c r="O472" s="27"/>
      <c r="P472" s="27"/>
      <c r="Q472" s="27"/>
      <c r="R472" s="27"/>
      <c r="S472" s="27"/>
      <c r="T472" s="27"/>
      <c r="U472" s="27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</row>
    <row r="473" ht="13.6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27"/>
      <c r="O473" s="27"/>
      <c r="P473" s="27"/>
      <c r="Q473" s="27"/>
      <c r="R473" s="27"/>
      <c r="S473" s="27"/>
      <c r="T473" s="27"/>
      <c r="U473" s="27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ht="13.6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27"/>
      <c r="O474" s="27"/>
      <c r="P474" s="27"/>
      <c r="Q474" s="27"/>
      <c r="R474" s="27"/>
      <c r="S474" s="27"/>
      <c r="T474" s="27"/>
      <c r="U474" s="27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 ht="13.6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27"/>
      <c r="O475" s="27"/>
      <c r="P475" s="27"/>
      <c r="Q475" s="27"/>
      <c r="R475" s="27"/>
      <c r="S475" s="27"/>
      <c r="T475" s="27"/>
      <c r="U475" s="27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ht="13.6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27"/>
      <c r="O476" s="27"/>
      <c r="P476" s="27"/>
      <c r="Q476" s="27"/>
      <c r="R476" s="27"/>
      <c r="S476" s="27"/>
      <c r="T476" s="27"/>
      <c r="U476" s="27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 ht="13.6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27"/>
      <c r="O477" s="27"/>
      <c r="P477" s="27"/>
      <c r="Q477" s="27"/>
      <c r="R477" s="27"/>
      <c r="S477" s="27"/>
      <c r="T477" s="27"/>
      <c r="U477" s="27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ht="13.6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27"/>
      <c r="O478" s="27"/>
      <c r="P478" s="27"/>
      <c r="Q478" s="27"/>
      <c r="R478" s="27"/>
      <c r="S478" s="27"/>
      <c r="T478" s="27"/>
      <c r="U478" s="27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 ht="13.6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27"/>
      <c r="O479" s="27"/>
      <c r="P479" s="27"/>
      <c r="Q479" s="27"/>
      <c r="R479" s="27"/>
      <c r="S479" s="27"/>
      <c r="T479" s="27"/>
      <c r="U479" s="27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ht="13.6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27"/>
      <c r="O480" s="27"/>
      <c r="P480" s="27"/>
      <c r="Q480" s="27"/>
      <c r="R480" s="27"/>
      <c r="S480" s="27"/>
      <c r="T480" s="27"/>
      <c r="U480" s="27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 ht="13.6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27"/>
      <c r="O481" s="27"/>
      <c r="P481" s="27"/>
      <c r="Q481" s="27"/>
      <c r="R481" s="27"/>
      <c r="S481" s="27"/>
      <c r="T481" s="27"/>
      <c r="U481" s="27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ht="13.6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27"/>
      <c r="O482" s="27"/>
      <c r="P482" s="27"/>
      <c r="Q482" s="27"/>
      <c r="R482" s="27"/>
      <c r="S482" s="27"/>
      <c r="T482" s="27"/>
      <c r="U482" s="27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 ht="13.6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27"/>
      <c r="O483" s="27"/>
      <c r="P483" s="27"/>
      <c r="Q483" s="27"/>
      <c r="R483" s="27"/>
      <c r="S483" s="27"/>
      <c r="T483" s="27"/>
      <c r="U483" s="27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ht="13.6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27"/>
      <c r="O484" s="27"/>
      <c r="P484" s="27"/>
      <c r="Q484" s="27"/>
      <c r="R484" s="27"/>
      <c r="S484" s="27"/>
      <c r="T484" s="27"/>
      <c r="U484" s="27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 ht="13.6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27"/>
      <c r="O485" s="27"/>
      <c r="P485" s="27"/>
      <c r="Q485" s="27"/>
      <c r="R485" s="27"/>
      <c r="S485" s="27"/>
      <c r="T485" s="27"/>
      <c r="U485" s="27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ht="13.6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27"/>
      <c r="O486" s="27"/>
      <c r="P486" s="27"/>
      <c r="Q486" s="27"/>
      <c r="R486" s="27"/>
      <c r="S486" s="27"/>
      <c r="T486" s="27"/>
      <c r="U486" s="27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 ht="13.6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27"/>
      <c r="O487" s="27"/>
      <c r="P487" s="27"/>
      <c r="Q487" s="27"/>
      <c r="R487" s="27"/>
      <c r="S487" s="27"/>
      <c r="T487" s="27"/>
      <c r="U487" s="27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ht="13.6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27"/>
      <c r="O488" s="27"/>
      <c r="P488" s="27"/>
      <c r="Q488" s="27"/>
      <c r="R488" s="27"/>
      <c r="S488" s="27"/>
      <c r="T488" s="27"/>
      <c r="U488" s="27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 ht="13.6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27"/>
      <c r="O489" s="27"/>
      <c r="P489" s="27"/>
      <c r="Q489" s="27"/>
      <c r="R489" s="27"/>
      <c r="S489" s="27"/>
      <c r="T489" s="27"/>
      <c r="U489" s="27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ht="13.6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27"/>
      <c r="O490" s="27"/>
      <c r="P490" s="27"/>
      <c r="Q490" s="27"/>
      <c r="R490" s="27"/>
      <c r="S490" s="27"/>
      <c r="T490" s="27"/>
      <c r="U490" s="27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 ht="13.6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27"/>
      <c r="O491" s="27"/>
      <c r="P491" s="27"/>
      <c r="Q491" s="27"/>
      <c r="R491" s="27"/>
      <c r="S491" s="27"/>
      <c r="T491" s="27"/>
      <c r="U491" s="27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ht="13.6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27"/>
      <c r="O492" s="27"/>
      <c r="P492" s="27"/>
      <c r="Q492" s="27"/>
      <c r="R492" s="27"/>
      <c r="S492" s="27"/>
      <c r="T492" s="27"/>
      <c r="U492" s="27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 ht="13.6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27"/>
      <c r="O493" s="27"/>
      <c r="P493" s="27"/>
      <c r="Q493" s="27"/>
      <c r="R493" s="27"/>
      <c r="S493" s="27"/>
      <c r="T493" s="27"/>
      <c r="U493" s="27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ht="13.6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27"/>
      <c r="O494" s="27"/>
      <c r="P494" s="27"/>
      <c r="Q494" s="27"/>
      <c r="R494" s="27"/>
      <c r="S494" s="27"/>
      <c r="T494" s="27"/>
      <c r="U494" s="27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 ht="13.6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27"/>
      <c r="O495" s="27"/>
      <c r="P495" s="27"/>
      <c r="Q495" s="27"/>
      <c r="R495" s="27"/>
      <c r="S495" s="27"/>
      <c r="T495" s="27"/>
      <c r="U495" s="27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ht="13.6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27"/>
      <c r="O496" s="27"/>
      <c r="P496" s="27"/>
      <c r="Q496" s="27"/>
      <c r="R496" s="27"/>
      <c r="S496" s="27"/>
      <c r="T496" s="27"/>
      <c r="U496" s="27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 ht="13.6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27"/>
      <c r="O497" s="27"/>
      <c r="P497" s="27"/>
      <c r="Q497" s="27"/>
      <c r="R497" s="27"/>
      <c r="S497" s="27"/>
      <c r="T497" s="27"/>
      <c r="U497" s="27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ht="13.6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27"/>
      <c r="O498" s="27"/>
      <c r="P498" s="27"/>
      <c r="Q498" s="27"/>
      <c r="R498" s="27"/>
      <c r="S498" s="27"/>
      <c r="T498" s="27"/>
      <c r="U498" s="27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 ht="13.6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27"/>
      <c r="O499" s="27"/>
      <c r="P499" s="27"/>
      <c r="Q499" s="27"/>
      <c r="R499" s="27"/>
      <c r="S499" s="27"/>
      <c r="T499" s="27"/>
      <c r="U499" s="27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ht="13.6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27"/>
      <c r="O500" s="27"/>
      <c r="P500" s="27"/>
      <c r="Q500" s="27"/>
      <c r="R500" s="27"/>
      <c r="S500" s="27"/>
      <c r="T500" s="27"/>
      <c r="U500" s="27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 ht="13.6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27"/>
      <c r="O501" s="27"/>
      <c r="P501" s="27"/>
      <c r="Q501" s="27"/>
      <c r="R501" s="27"/>
      <c r="S501" s="27"/>
      <c r="T501" s="27"/>
      <c r="U501" s="27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ht="13.6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27"/>
      <c r="O502" s="27"/>
      <c r="P502" s="27"/>
      <c r="Q502" s="27"/>
      <c r="R502" s="27"/>
      <c r="S502" s="27"/>
      <c r="T502" s="27"/>
      <c r="U502" s="27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 ht="13.6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27"/>
      <c r="O503" s="27"/>
      <c r="P503" s="27"/>
      <c r="Q503" s="27"/>
      <c r="R503" s="27"/>
      <c r="S503" s="27"/>
      <c r="T503" s="27"/>
      <c r="U503" s="27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ht="13.6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27"/>
      <c r="O504" s="27"/>
      <c r="P504" s="27"/>
      <c r="Q504" s="27"/>
      <c r="R504" s="27"/>
      <c r="S504" s="27"/>
      <c r="T504" s="27"/>
      <c r="U504" s="27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 ht="13.6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27"/>
      <c r="O505" s="27"/>
      <c r="P505" s="27"/>
      <c r="Q505" s="27"/>
      <c r="R505" s="27"/>
      <c r="S505" s="27"/>
      <c r="T505" s="27"/>
      <c r="U505" s="27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ht="13.6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27"/>
      <c r="O506" s="27"/>
      <c r="P506" s="27"/>
      <c r="Q506" s="27"/>
      <c r="R506" s="27"/>
      <c r="S506" s="27"/>
      <c r="T506" s="27"/>
      <c r="U506" s="27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 ht="13.6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27"/>
      <c r="O507" s="27"/>
      <c r="P507" s="27"/>
      <c r="Q507" s="27"/>
      <c r="R507" s="27"/>
      <c r="S507" s="27"/>
      <c r="T507" s="27"/>
      <c r="U507" s="27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ht="13.6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27"/>
      <c r="O508" s="27"/>
      <c r="P508" s="27"/>
      <c r="Q508" s="27"/>
      <c r="R508" s="27"/>
      <c r="S508" s="27"/>
      <c r="T508" s="27"/>
      <c r="U508" s="27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 ht="13.6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27"/>
      <c r="O509" s="27"/>
      <c r="P509" s="27"/>
      <c r="Q509" s="27"/>
      <c r="R509" s="27"/>
      <c r="S509" s="27"/>
      <c r="T509" s="27"/>
      <c r="U509" s="27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ht="13.6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27"/>
      <c r="O510" s="27"/>
      <c r="P510" s="27"/>
      <c r="Q510" s="27"/>
      <c r="R510" s="27"/>
      <c r="S510" s="27"/>
      <c r="T510" s="27"/>
      <c r="U510" s="27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 ht="13.6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27"/>
      <c r="O511" s="27"/>
      <c r="P511" s="27"/>
      <c r="Q511" s="27"/>
      <c r="R511" s="27"/>
      <c r="S511" s="27"/>
      <c r="T511" s="27"/>
      <c r="U511" s="27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ht="13.6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27"/>
      <c r="O512" s="27"/>
      <c r="P512" s="27"/>
      <c r="Q512" s="27"/>
      <c r="R512" s="27"/>
      <c r="S512" s="27"/>
      <c r="T512" s="27"/>
      <c r="U512" s="27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 ht="13.6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27"/>
      <c r="O513" s="27"/>
      <c r="P513" s="27"/>
      <c r="Q513" s="27"/>
      <c r="R513" s="27"/>
      <c r="S513" s="27"/>
      <c r="T513" s="27"/>
      <c r="U513" s="27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ht="13.6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27"/>
      <c r="O514" s="27"/>
      <c r="P514" s="27"/>
      <c r="Q514" s="27"/>
      <c r="R514" s="27"/>
      <c r="S514" s="27"/>
      <c r="T514" s="27"/>
      <c r="U514" s="27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 ht="13.6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27"/>
      <c r="O515" s="27"/>
      <c r="P515" s="27"/>
      <c r="Q515" s="27"/>
      <c r="R515" s="27"/>
      <c r="S515" s="27"/>
      <c r="T515" s="27"/>
      <c r="U515" s="27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ht="13.6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27"/>
      <c r="O516" s="27"/>
      <c r="P516" s="27"/>
      <c r="Q516" s="27"/>
      <c r="R516" s="27"/>
      <c r="S516" s="27"/>
      <c r="T516" s="27"/>
      <c r="U516" s="27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 ht="13.6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27"/>
      <c r="O517" s="27"/>
      <c r="P517" s="27"/>
      <c r="Q517" s="27"/>
      <c r="R517" s="27"/>
      <c r="S517" s="27"/>
      <c r="T517" s="27"/>
      <c r="U517" s="27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ht="13.6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27"/>
      <c r="O518" s="27"/>
      <c r="P518" s="27"/>
      <c r="Q518" s="27"/>
      <c r="R518" s="27"/>
      <c r="S518" s="27"/>
      <c r="T518" s="27"/>
      <c r="U518" s="27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 ht="13.6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27"/>
      <c r="O519" s="27"/>
      <c r="P519" s="27"/>
      <c r="Q519" s="27"/>
      <c r="R519" s="27"/>
      <c r="S519" s="27"/>
      <c r="T519" s="27"/>
      <c r="U519" s="27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ht="13.6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27"/>
      <c r="O520" s="27"/>
      <c r="P520" s="27"/>
      <c r="Q520" s="27"/>
      <c r="R520" s="27"/>
      <c r="S520" s="27"/>
      <c r="T520" s="27"/>
      <c r="U520" s="27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 ht="13.6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27"/>
      <c r="O521" s="27"/>
      <c r="P521" s="27"/>
      <c r="Q521" s="27"/>
      <c r="R521" s="27"/>
      <c r="S521" s="27"/>
      <c r="T521" s="27"/>
      <c r="U521" s="27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ht="13.6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27"/>
      <c r="O522" s="27"/>
      <c r="P522" s="27"/>
      <c r="Q522" s="27"/>
      <c r="R522" s="27"/>
      <c r="S522" s="27"/>
      <c r="T522" s="27"/>
      <c r="U522" s="27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 ht="13.6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27"/>
      <c r="O523" s="27"/>
      <c r="P523" s="27"/>
      <c r="Q523" s="27"/>
      <c r="R523" s="27"/>
      <c r="S523" s="27"/>
      <c r="T523" s="27"/>
      <c r="U523" s="27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ht="13.6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27"/>
      <c r="O524" s="27"/>
      <c r="P524" s="27"/>
      <c r="Q524" s="27"/>
      <c r="R524" s="27"/>
      <c r="S524" s="27"/>
      <c r="T524" s="27"/>
      <c r="U524" s="27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 ht="13.6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27"/>
      <c r="O525" s="27"/>
      <c r="P525" s="27"/>
      <c r="Q525" s="27"/>
      <c r="R525" s="27"/>
      <c r="S525" s="27"/>
      <c r="T525" s="27"/>
      <c r="U525" s="27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ht="13.6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27"/>
      <c r="O526" s="27"/>
      <c r="P526" s="27"/>
      <c r="Q526" s="27"/>
      <c r="R526" s="27"/>
      <c r="S526" s="27"/>
      <c r="T526" s="27"/>
      <c r="U526" s="27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 ht="13.6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27"/>
      <c r="O527" s="27"/>
      <c r="P527" s="27"/>
      <c r="Q527" s="27"/>
      <c r="R527" s="27"/>
      <c r="S527" s="27"/>
      <c r="T527" s="27"/>
      <c r="U527" s="27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ht="13.6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27"/>
      <c r="O528" s="27"/>
      <c r="P528" s="27"/>
      <c r="Q528" s="27"/>
      <c r="R528" s="27"/>
      <c r="S528" s="27"/>
      <c r="T528" s="27"/>
      <c r="U528" s="27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 ht="13.6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27"/>
      <c r="O529" s="27"/>
      <c r="P529" s="27"/>
      <c r="Q529" s="27"/>
      <c r="R529" s="27"/>
      <c r="S529" s="27"/>
      <c r="T529" s="27"/>
      <c r="U529" s="27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ht="13.6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27"/>
      <c r="O530" s="27"/>
      <c r="P530" s="27"/>
      <c r="Q530" s="27"/>
      <c r="R530" s="27"/>
      <c r="S530" s="27"/>
      <c r="T530" s="27"/>
      <c r="U530" s="27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 ht="13.6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27"/>
      <c r="O531" s="27"/>
      <c r="P531" s="27"/>
      <c r="Q531" s="27"/>
      <c r="R531" s="27"/>
      <c r="S531" s="27"/>
      <c r="T531" s="27"/>
      <c r="U531" s="27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ht="13.6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27"/>
      <c r="O532" s="27"/>
      <c r="P532" s="27"/>
      <c r="Q532" s="27"/>
      <c r="R532" s="27"/>
      <c r="S532" s="27"/>
      <c r="T532" s="27"/>
      <c r="U532" s="27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 ht="13.6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27"/>
      <c r="O533" s="27"/>
      <c r="P533" s="27"/>
      <c r="Q533" s="27"/>
      <c r="R533" s="27"/>
      <c r="S533" s="27"/>
      <c r="T533" s="27"/>
      <c r="U533" s="27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ht="13.6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27"/>
      <c r="O534" s="27"/>
      <c r="P534" s="27"/>
      <c r="Q534" s="27"/>
      <c r="R534" s="27"/>
      <c r="S534" s="27"/>
      <c r="T534" s="27"/>
      <c r="U534" s="27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 ht="13.6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27"/>
      <c r="O535" s="27"/>
      <c r="P535" s="27"/>
      <c r="Q535" s="27"/>
      <c r="R535" s="27"/>
      <c r="S535" s="27"/>
      <c r="T535" s="27"/>
      <c r="U535" s="27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ht="13.6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27"/>
      <c r="O536" s="27"/>
      <c r="P536" s="27"/>
      <c r="Q536" s="27"/>
      <c r="R536" s="27"/>
      <c r="S536" s="27"/>
      <c r="T536" s="27"/>
      <c r="U536" s="27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 ht="13.6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27"/>
      <c r="O537" s="27"/>
      <c r="P537" s="27"/>
      <c r="Q537" s="27"/>
      <c r="R537" s="27"/>
      <c r="S537" s="27"/>
      <c r="T537" s="27"/>
      <c r="U537" s="27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ht="13.6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27"/>
      <c r="O538" s="27"/>
      <c r="P538" s="27"/>
      <c r="Q538" s="27"/>
      <c r="R538" s="27"/>
      <c r="S538" s="27"/>
      <c r="T538" s="27"/>
      <c r="U538" s="27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 ht="13.6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27"/>
      <c r="O539" s="27"/>
      <c r="P539" s="27"/>
      <c r="Q539" s="27"/>
      <c r="R539" s="27"/>
      <c r="S539" s="27"/>
      <c r="T539" s="27"/>
      <c r="U539" s="27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ht="13.6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27"/>
      <c r="O540" s="27"/>
      <c r="P540" s="27"/>
      <c r="Q540" s="27"/>
      <c r="R540" s="27"/>
      <c r="S540" s="27"/>
      <c r="T540" s="27"/>
      <c r="U540" s="27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 ht="13.6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27"/>
      <c r="O541" s="27"/>
      <c r="P541" s="27"/>
      <c r="Q541" s="27"/>
      <c r="R541" s="27"/>
      <c r="S541" s="27"/>
      <c r="T541" s="27"/>
      <c r="U541" s="27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ht="13.6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27"/>
      <c r="O542" s="27"/>
      <c r="P542" s="27"/>
      <c r="Q542" s="27"/>
      <c r="R542" s="27"/>
      <c r="S542" s="27"/>
      <c r="T542" s="27"/>
      <c r="U542" s="27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 ht="13.6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27"/>
      <c r="O543" s="27"/>
      <c r="P543" s="27"/>
      <c r="Q543" s="27"/>
      <c r="R543" s="27"/>
      <c r="S543" s="27"/>
      <c r="T543" s="27"/>
      <c r="U543" s="27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ht="13.6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27"/>
      <c r="O544" s="27"/>
      <c r="P544" s="27"/>
      <c r="Q544" s="27"/>
      <c r="R544" s="27"/>
      <c r="S544" s="27"/>
      <c r="T544" s="27"/>
      <c r="U544" s="27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 ht="13.6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27"/>
      <c r="O545" s="27"/>
      <c r="P545" s="27"/>
      <c r="Q545" s="27"/>
      <c r="R545" s="27"/>
      <c r="S545" s="27"/>
      <c r="T545" s="27"/>
      <c r="U545" s="27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ht="13.6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27"/>
      <c r="O546" s="27"/>
      <c r="P546" s="27"/>
      <c r="Q546" s="27"/>
      <c r="R546" s="27"/>
      <c r="S546" s="27"/>
      <c r="T546" s="27"/>
      <c r="U546" s="27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 ht="13.6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27"/>
      <c r="O547" s="27"/>
      <c r="P547" s="27"/>
      <c r="Q547" s="27"/>
      <c r="R547" s="27"/>
      <c r="S547" s="27"/>
      <c r="T547" s="27"/>
      <c r="U547" s="27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ht="13.6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27"/>
      <c r="O548" s="27"/>
      <c r="P548" s="27"/>
      <c r="Q548" s="27"/>
      <c r="R548" s="27"/>
      <c r="S548" s="27"/>
      <c r="T548" s="27"/>
      <c r="U548" s="27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 ht="13.6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27"/>
      <c r="O549" s="27"/>
      <c r="P549" s="27"/>
      <c r="Q549" s="27"/>
      <c r="R549" s="27"/>
      <c r="S549" s="27"/>
      <c r="T549" s="27"/>
      <c r="U549" s="27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ht="13.6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27"/>
      <c r="O550" s="27"/>
      <c r="P550" s="27"/>
      <c r="Q550" s="27"/>
      <c r="R550" s="27"/>
      <c r="S550" s="27"/>
      <c r="T550" s="27"/>
      <c r="U550" s="27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 ht="13.6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27"/>
      <c r="O551" s="27"/>
      <c r="P551" s="27"/>
      <c r="Q551" s="27"/>
      <c r="R551" s="27"/>
      <c r="S551" s="27"/>
      <c r="T551" s="27"/>
      <c r="U551" s="27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ht="13.6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27"/>
      <c r="O552" s="27"/>
      <c r="P552" s="27"/>
      <c r="Q552" s="27"/>
      <c r="R552" s="27"/>
      <c r="S552" s="27"/>
      <c r="T552" s="27"/>
      <c r="U552" s="27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 ht="13.6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27"/>
      <c r="O553" s="27"/>
      <c r="P553" s="27"/>
      <c r="Q553" s="27"/>
      <c r="R553" s="27"/>
      <c r="S553" s="27"/>
      <c r="T553" s="27"/>
      <c r="U553" s="27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ht="13.6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27"/>
      <c r="O554" s="27"/>
      <c r="P554" s="27"/>
      <c r="Q554" s="27"/>
      <c r="R554" s="27"/>
      <c r="S554" s="27"/>
      <c r="T554" s="27"/>
      <c r="U554" s="27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 ht="13.6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27"/>
      <c r="O555" s="27"/>
      <c r="P555" s="27"/>
      <c r="Q555" s="27"/>
      <c r="R555" s="27"/>
      <c r="S555" s="27"/>
      <c r="T555" s="27"/>
      <c r="U555" s="27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ht="13.6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27"/>
      <c r="O556" s="27"/>
      <c r="P556" s="27"/>
      <c r="Q556" s="27"/>
      <c r="R556" s="27"/>
      <c r="S556" s="27"/>
      <c r="T556" s="27"/>
      <c r="U556" s="27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 ht="13.6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27"/>
      <c r="O557" s="27"/>
      <c r="P557" s="27"/>
      <c r="Q557" s="27"/>
      <c r="R557" s="27"/>
      <c r="S557" s="27"/>
      <c r="T557" s="27"/>
      <c r="U557" s="27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ht="13.6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27"/>
      <c r="O558" s="27"/>
      <c r="P558" s="27"/>
      <c r="Q558" s="27"/>
      <c r="R558" s="27"/>
      <c r="S558" s="27"/>
      <c r="T558" s="27"/>
      <c r="U558" s="27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 ht="13.6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27"/>
      <c r="O559" s="27"/>
      <c r="P559" s="27"/>
      <c r="Q559" s="27"/>
      <c r="R559" s="27"/>
      <c r="S559" s="27"/>
      <c r="T559" s="27"/>
      <c r="U559" s="27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ht="13.6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27"/>
      <c r="O560" s="27"/>
      <c r="P560" s="27"/>
      <c r="Q560" s="27"/>
      <c r="R560" s="27"/>
      <c r="S560" s="27"/>
      <c r="T560" s="27"/>
      <c r="U560" s="27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 ht="13.6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27"/>
      <c r="O561" s="27"/>
      <c r="P561" s="27"/>
      <c r="Q561" s="27"/>
      <c r="R561" s="27"/>
      <c r="S561" s="27"/>
      <c r="T561" s="27"/>
      <c r="U561" s="27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ht="13.6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27"/>
      <c r="O562" s="27"/>
      <c r="P562" s="27"/>
      <c r="Q562" s="27"/>
      <c r="R562" s="27"/>
      <c r="S562" s="27"/>
      <c r="T562" s="27"/>
      <c r="U562" s="27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 ht="13.6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27"/>
      <c r="O563" s="27"/>
      <c r="P563" s="27"/>
      <c r="Q563" s="27"/>
      <c r="R563" s="27"/>
      <c r="S563" s="27"/>
      <c r="T563" s="27"/>
      <c r="U563" s="27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ht="13.6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27"/>
      <c r="O564" s="27"/>
      <c r="P564" s="27"/>
      <c r="Q564" s="27"/>
      <c r="R564" s="27"/>
      <c r="S564" s="27"/>
      <c r="T564" s="27"/>
      <c r="U564" s="27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 ht="13.6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27"/>
      <c r="O565" s="27"/>
      <c r="P565" s="27"/>
      <c r="Q565" s="27"/>
      <c r="R565" s="27"/>
      <c r="S565" s="27"/>
      <c r="T565" s="27"/>
      <c r="U565" s="27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ht="13.6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27"/>
      <c r="O566" s="27"/>
      <c r="P566" s="27"/>
      <c r="Q566" s="27"/>
      <c r="R566" s="27"/>
      <c r="S566" s="27"/>
      <c r="T566" s="27"/>
      <c r="U566" s="27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 ht="13.6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27"/>
      <c r="O567" s="27"/>
      <c r="P567" s="27"/>
      <c r="Q567" s="27"/>
      <c r="R567" s="27"/>
      <c r="S567" s="27"/>
      <c r="T567" s="27"/>
      <c r="U567" s="27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ht="13.6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27"/>
      <c r="O568" s="27"/>
      <c r="P568" s="27"/>
      <c r="Q568" s="27"/>
      <c r="R568" s="27"/>
      <c r="S568" s="27"/>
      <c r="T568" s="27"/>
      <c r="U568" s="27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 ht="13.6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27"/>
      <c r="O569" s="27"/>
      <c r="P569" s="27"/>
      <c r="Q569" s="27"/>
      <c r="R569" s="27"/>
      <c r="S569" s="27"/>
      <c r="T569" s="27"/>
      <c r="U569" s="27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ht="13.6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27"/>
      <c r="O570" s="27"/>
      <c r="P570" s="27"/>
      <c r="Q570" s="27"/>
      <c r="R570" s="27"/>
      <c r="S570" s="27"/>
      <c r="T570" s="27"/>
      <c r="U570" s="27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 ht="13.6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27"/>
      <c r="O571" s="27"/>
      <c r="P571" s="27"/>
      <c r="Q571" s="27"/>
      <c r="R571" s="27"/>
      <c r="S571" s="27"/>
      <c r="T571" s="27"/>
      <c r="U571" s="27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ht="13.6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27"/>
      <c r="O572" s="27"/>
      <c r="P572" s="27"/>
      <c r="Q572" s="27"/>
      <c r="R572" s="27"/>
      <c r="S572" s="27"/>
      <c r="T572" s="27"/>
      <c r="U572" s="27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 ht="13.6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27"/>
      <c r="O573" s="27"/>
      <c r="P573" s="27"/>
      <c r="Q573" s="27"/>
      <c r="R573" s="27"/>
      <c r="S573" s="27"/>
      <c r="T573" s="27"/>
      <c r="U573" s="27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ht="13.6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27"/>
      <c r="O574" s="27"/>
      <c r="P574" s="27"/>
      <c r="Q574" s="27"/>
      <c r="R574" s="27"/>
      <c r="S574" s="27"/>
      <c r="T574" s="27"/>
      <c r="U574" s="27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 ht="13.6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27"/>
      <c r="O575" s="27"/>
      <c r="P575" s="27"/>
      <c r="Q575" s="27"/>
      <c r="R575" s="27"/>
      <c r="S575" s="27"/>
      <c r="T575" s="27"/>
      <c r="U575" s="27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ht="13.6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27"/>
      <c r="O576" s="27"/>
      <c r="P576" s="27"/>
      <c r="Q576" s="27"/>
      <c r="R576" s="27"/>
      <c r="S576" s="27"/>
      <c r="T576" s="27"/>
      <c r="U576" s="27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 ht="13.6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27"/>
      <c r="O577" s="27"/>
      <c r="P577" s="27"/>
      <c r="Q577" s="27"/>
      <c r="R577" s="27"/>
      <c r="S577" s="27"/>
      <c r="T577" s="27"/>
      <c r="U577" s="27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ht="13.6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27"/>
      <c r="O578" s="27"/>
      <c r="P578" s="27"/>
      <c r="Q578" s="27"/>
      <c r="R578" s="27"/>
      <c r="S578" s="27"/>
      <c r="T578" s="27"/>
      <c r="U578" s="27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 ht="13.6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27"/>
      <c r="O579" s="27"/>
      <c r="P579" s="27"/>
      <c r="Q579" s="27"/>
      <c r="R579" s="27"/>
      <c r="S579" s="27"/>
      <c r="T579" s="27"/>
      <c r="U579" s="27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ht="13.6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27"/>
      <c r="O580" s="27"/>
      <c r="P580" s="27"/>
      <c r="Q580" s="27"/>
      <c r="R580" s="27"/>
      <c r="S580" s="27"/>
      <c r="T580" s="27"/>
      <c r="U580" s="27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 ht="13.6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27"/>
      <c r="O581" s="27"/>
      <c r="P581" s="27"/>
      <c r="Q581" s="27"/>
      <c r="R581" s="27"/>
      <c r="S581" s="27"/>
      <c r="T581" s="27"/>
      <c r="U581" s="27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ht="13.6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27"/>
      <c r="O582" s="27"/>
      <c r="P582" s="27"/>
      <c r="Q582" s="27"/>
      <c r="R582" s="27"/>
      <c r="S582" s="27"/>
      <c r="T582" s="27"/>
      <c r="U582" s="27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 ht="13.6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27"/>
      <c r="O583" s="27"/>
      <c r="P583" s="27"/>
      <c r="Q583" s="27"/>
      <c r="R583" s="27"/>
      <c r="S583" s="27"/>
      <c r="T583" s="27"/>
      <c r="U583" s="27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ht="13.6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27"/>
      <c r="O584" s="27"/>
      <c r="P584" s="27"/>
      <c r="Q584" s="27"/>
      <c r="R584" s="27"/>
      <c r="S584" s="27"/>
      <c r="T584" s="27"/>
      <c r="U584" s="27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 ht="13.6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27"/>
      <c r="O585" s="27"/>
      <c r="P585" s="27"/>
      <c r="Q585" s="27"/>
      <c r="R585" s="27"/>
      <c r="S585" s="27"/>
      <c r="T585" s="27"/>
      <c r="U585" s="27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ht="13.6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27"/>
      <c r="O586" s="27"/>
      <c r="P586" s="27"/>
      <c r="Q586" s="27"/>
      <c r="R586" s="27"/>
      <c r="S586" s="27"/>
      <c r="T586" s="27"/>
      <c r="U586" s="27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 ht="13.6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27"/>
      <c r="O587" s="27"/>
      <c r="P587" s="27"/>
      <c r="Q587" s="27"/>
      <c r="R587" s="27"/>
      <c r="S587" s="27"/>
      <c r="T587" s="27"/>
      <c r="U587" s="27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ht="13.6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27"/>
      <c r="O588" s="27"/>
      <c r="P588" s="27"/>
      <c r="Q588" s="27"/>
      <c r="R588" s="27"/>
      <c r="S588" s="27"/>
      <c r="T588" s="27"/>
      <c r="U588" s="27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 ht="13.6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27"/>
      <c r="O589" s="27"/>
      <c r="P589" s="27"/>
      <c r="Q589" s="27"/>
      <c r="R589" s="27"/>
      <c r="S589" s="27"/>
      <c r="T589" s="27"/>
      <c r="U589" s="27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ht="13.6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27"/>
      <c r="O590" s="27"/>
      <c r="P590" s="27"/>
      <c r="Q590" s="27"/>
      <c r="R590" s="27"/>
      <c r="S590" s="27"/>
      <c r="T590" s="27"/>
      <c r="U590" s="27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 ht="13.6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27"/>
      <c r="O591" s="27"/>
      <c r="P591" s="27"/>
      <c r="Q591" s="27"/>
      <c r="R591" s="27"/>
      <c r="S591" s="27"/>
      <c r="T591" s="27"/>
      <c r="U591" s="27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ht="13.6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27"/>
      <c r="O592" s="27"/>
      <c r="P592" s="27"/>
      <c r="Q592" s="27"/>
      <c r="R592" s="27"/>
      <c r="S592" s="27"/>
      <c r="T592" s="27"/>
      <c r="U592" s="27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 ht="13.6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27"/>
      <c r="O593" s="27"/>
      <c r="P593" s="27"/>
      <c r="Q593" s="27"/>
      <c r="R593" s="27"/>
      <c r="S593" s="27"/>
      <c r="T593" s="27"/>
      <c r="U593" s="27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ht="13.6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27"/>
      <c r="O594" s="27"/>
      <c r="P594" s="27"/>
      <c r="Q594" s="27"/>
      <c r="R594" s="27"/>
      <c r="S594" s="27"/>
      <c r="T594" s="27"/>
      <c r="U594" s="27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 ht="13.6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27"/>
      <c r="O595" s="27"/>
      <c r="P595" s="27"/>
      <c r="Q595" s="27"/>
      <c r="R595" s="27"/>
      <c r="S595" s="27"/>
      <c r="T595" s="27"/>
      <c r="U595" s="27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ht="13.6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27"/>
      <c r="O596" s="27"/>
      <c r="P596" s="27"/>
      <c r="Q596" s="27"/>
      <c r="R596" s="27"/>
      <c r="S596" s="27"/>
      <c r="T596" s="27"/>
      <c r="U596" s="27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 ht="13.6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27"/>
      <c r="O597" s="27"/>
      <c r="P597" s="27"/>
      <c r="Q597" s="27"/>
      <c r="R597" s="27"/>
      <c r="S597" s="27"/>
      <c r="T597" s="27"/>
      <c r="U597" s="27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ht="13.6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27"/>
      <c r="O598" s="27"/>
      <c r="P598" s="27"/>
      <c r="Q598" s="27"/>
      <c r="R598" s="27"/>
      <c r="S598" s="27"/>
      <c r="T598" s="27"/>
      <c r="U598" s="27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 ht="13.6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27"/>
      <c r="O599" s="27"/>
      <c r="P599" s="27"/>
      <c r="Q599" s="27"/>
      <c r="R599" s="27"/>
      <c r="S599" s="27"/>
      <c r="T599" s="27"/>
      <c r="U599" s="27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ht="13.6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27"/>
      <c r="O600" s="27"/>
      <c r="P600" s="27"/>
      <c r="Q600" s="27"/>
      <c r="R600" s="27"/>
      <c r="S600" s="27"/>
      <c r="T600" s="27"/>
      <c r="U600" s="27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 ht="13.6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27"/>
      <c r="O601" s="27"/>
      <c r="P601" s="27"/>
      <c r="Q601" s="27"/>
      <c r="R601" s="27"/>
      <c r="S601" s="27"/>
      <c r="T601" s="27"/>
      <c r="U601" s="27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ht="13.6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27"/>
      <c r="O602" s="27"/>
      <c r="P602" s="27"/>
      <c r="Q602" s="27"/>
      <c r="R602" s="27"/>
      <c r="S602" s="27"/>
      <c r="T602" s="27"/>
      <c r="U602" s="27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 ht="13.6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27"/>
      <c r="O603" s="27"/>
      <c r="P603" s="27"/>
      <c r="Q603" s="27"/>
      <c r="R603" s="27"/>
      <c r="S603" s="27"/>
      <c r="T603" s="27"/>
      <c r="U603" s="27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ht="13.6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27"/>
      <c r="O604" s="27"/>
      <c r="P604" s="27"/>
      <c r="Q604" s="27"/>
      <c r="R604" s="27"/>
      <c r="S604" s="27"/>
      <c r="T604" s="27"/>
      <c r="U604" s="27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 ht="13.6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27"/>
      <c r="O605" s="27"/>
      <c r="P605" s="27"/>
      <c r="Q605" s="27"/>
      <c r="R605" s="27"/>
      <c r="S605" s="27"/>
      <c r="T605" s="27"/>
      <c r="U605" s="27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ht="13.6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27"/>
      <c r="O606" s="27"/>
      <c r="P606" s="27"/>
      <c r="Q606" s="27"/>
      <c r="R606" s="27"/>
      <c r="S606" s="27"/>
      <c r="T606" s="27"/>
      <c r="U606" s="27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 ht="13.6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27"/>
      <c r="O607" s="27"/>
      <c r="P607" s="27"/>
      <c r="Q607" s="27"/>
      <c r="R607" s="27"/>
      <c r="S607" s="27"/>
      <c r="T607" s="27"/>
      <c r="U607" s="27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ht="13.6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27"/>
      <c r="O608" s="27"/>
      <c r="P608" s="27"/>
      <c r="Q608" s="27"/>
      <c r="R608" s="27"/>
      <c r="S608" s="27"/>
      <c r="T608" s="27"/>
      <c r="U608" s="27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 ht="13.6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27"/>
      <c r="O609" s="27"/>
      <c r="P609" s="27"/>
      <c r="Q609" s="27"/>
      <c r="R609" s="27"/>
      <c r="S609" s="27"/>
      <c r="T609" s="27"/>
      <c r="U609" s="27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ht="13.6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27"/>
      <c r="O610" s="27"/>
      <c r="P610" s="27"/>
      <c r="Q610" s="27"/>
      <c r="R610" s="27"/>
      <c r="S610" s="27"/>
      <c r="T610" s="27"/>
      <c r="U610" s="27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 ht="13.6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27"/>
      <c r="O611" s="27"/>
      <c r="P611" s="27"/>
      <c r="Q611" s="27"/>
      <c r="R611" s="27"/>
      <c r="S611" s="27"/>
      <c r="T611" s="27"/>
      <c r="U611" s="27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ht="13.6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27"/>
      <c r="O612" s="27"/>
      <c r="P612" s="27"/>
      <c r="Q612" s="27"/>
      <c r="R612" s="27"/>
      <c r="S612" s="27"/>
      <c r="T612" s="27"/>
      <c r="U612" s="27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 ht="13.6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27"/>
      <c r="O613" s="27"/>
      <c r="P613" s="27"/>
      <c r="Q613" s="27"/>
      <c r="R613" s="27"/>
      <c r="S613" s="27"/>
      <c r="T613" s="27"/>
      <c r="U613" s="27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ht="13.6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27"/>
      <c r="O614" s="27"/>
      <c r="P614" s="27"/>
      <c r="Q614" s="27"/>
      <c r="R614" s="27"/>
      <c r="S614" s="27"/>
      <c r="T614" s="27"/>
      <c r="U614" s="27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 ht="13.6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27"/>
      <c r="O615" s="27"/>
      <c r="P615" s="27"/>
      <c r="Q615" s="27"/>
      <c r="R615" s="27"/>
      <c r="S615" s="27"/>
      <c r="T615" s="27"/>
      <c r="U615" s="27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ht="13.6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27"/>
      <c r="O616" s="27"/>
      <c r="P616" s="27"/>
      <c r="Q616" s="27"/>
      <c r="R616" s="27"/>
      <c r="S616" s="27"/>
      <c r="T616" s="27"/>
      <c r="U616" s="27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 ht="13.6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27"/>
      <c r="O617" s="27"/>
      <c r="P617" s="27"/>
      <c r="Q617" s="27"/>
      <c r="R617" s="27"/>
      <c r="S617" s="27"/>
      <c r="T617" s="27"/>
      <c r="U617" s="27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ht="13.6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27"/>
      <c r="O618" s="27"/>
      <c r="P618" s="27"/>
      <c r="Q618" s="27"/>
      <c r="R618" s="27"/>
      <c r="S618" s="27"/>
      <c r="T618" s="27"/>
      <c r="U618" s="27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 ht="13.6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27"/>
      <c r="O619" s="27"/>
      <c r="P619" s="27"/>
      <c r="Q619" s="27"/>
      <c r="R619" s="27"/>
      <c r="S619" s="27"/>
      <c r="T619" s="27"/>
      <c r="U619" s="27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ht="13.6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27"/>
      <c r="O620" s="27"/>
      <c r="P620" s="27"/>
      <c r="Q620" s="27"/>
      <c r="R620" s="27"/>
      <c r="S620" s="27"/>
      <c r="T620" s="27"/>
      <c r="U620" s="27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 ht="13.6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27"/>
      <c r="O621" s="27"/>
      <c r="P621" s="27"/>
      <c r="Q621" s="27"/>
      <c r="R621" s="27"/>
      <c r="S621" s="27"/>
      <c r="T621" s="27"/>
      <c r="U621" s="27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ht="13.6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27"/>
      <c r="O622" s="27"/>
      <c r="P622" s="27"/>
      <c r="Q622" s="27"/>
      <c r="R622" s="27"/>
      <c r="S622" s="27"/>
      <c r="T622" s="27"/>
      <c r="U622" s="27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 ht="13.6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27"/>
      <c r="O623" s="27"/>
      <c r="P623" s="27"/>
      <c r="Q623" s="27"/>
      <c r="R623" s="27"/>
      <c r="S623" s="27"/>
      <c r="T623" s="27"/>
      <c r="U623" s="27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ht="13.6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27"/>
      <c r="O624" s="27"/>
      <c r="P624" s="27"/>
      <c r="Q624" s="27"/>
      <c r="R624" s="27"/>
      <c r="S624" s="27"/>
      <c r="T624" s="27"/>
      <c r="U624" s="27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 ht="13.6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27"/>
      <c r="O625" s="27"/>
      <c r="P625" s="27"/>
      <c r="Q625" s="27"/>
      <c r="R625" s="27"/>
      <c r="S625" s="27"/>
      <c r="T625" s="27"/>
      <c r="U625" s="27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ht="13.6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27"/>
      <c r="O626" s="27"/>
      <c r="P626" s="27"/>
      <c r="Q626" s="27"/>
      <c r="R626" s="27"/>
      <c r="S626" s="27"/>
      <c r="T626" s="27"/>
      <c r="U626" s="27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 ht="13.6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27"/>
      <c r="O627" s="27"/>
      <c r="P627" s="27"/>
      <c r="Q627" s="27"/>
      <c r="R627" s="27"/>
      <c r="S627" s="27"/>
      <c r="T627" s="27"/>
      <c r="U627" s="27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ht="13.6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27"/>
      <c r="O628" s="27"/>
      <c r="P628" s="27"/>
      <c r="Q628" s="27"/>
      <c r="R628" s="27"/>
      <c r="S628" s="27"/>
      <c r="T628" s="27"/>
      <c r="U628" s="27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 ht="13.6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27"/>
      <c r="O629" s="27"/>
      <c r="P629" s="27"/>
      <c r="Q629" s="27"/>
      <c r="R629" s="27"/>
      <c r="S629" s="27"/>
      <c r="T629" s="27"/>
      <c r="U629" s="27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ht="13.6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27"/>
      <c r="O630" s="27"/>
      <c r="P630" s="27"/>
      <c r="Q630" s="27"/>
      <c r="R630" s="27"/>
      <c r="S630" s="27"/>
      <c r="T630" s="27"/>
      <c r="U630" s="27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 ht="13.6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27"/>
      <c r="O631" s="27"/>
      <c r="P631" s="27"/>
      <c r="Q631" s="27"/>
      <c r="R631" s="27"/>
      <c r="S631" s="27"/>
      <c r="T631" s="27"/>
      <c r="U631" s="27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ht="13.6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27"/>
      <c r="O632" s="27"/>
      <c r="P632" s="27"/>
      <c r="Q632" s="27"/>
      <c r="R632" s="27"/>
      <c r="S632" s="27"/>
      <c r="T632" s="27"/>
      <c r="U632" s="27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 ht="13.6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27"/>
      <c r="O633" s="27"/>
      <c r="P633" s="27"/>
      <c r="Q633" s="27"/>
      <c r="R633" s="27"/>
      <c r="S633" s="27"/>
      <c r="T633" s="27"/>
      <c r="U633" s="27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ht="13.6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27"/>
      <c r="O634" s="27"/>
      <c r="P634" s="27"/>
      <c r="Q634" s="27"/>
      <c r="R634" s="27"/>
      <c r="S634" s="27"/>
      <c r="T634" s="27"/>
      <c r="U634" s="27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 ht="13.6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27"/>
      <c r="O635" s="27"/>
      <c r="P635" s="27"/>
      <c r="Q635" s="27"/>
      <c r="R635" s="27"/>
      <c r="S635" s="27"/>
      <c r="T635" s="27"/>
      <c r="U635" s="27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ht="13.6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27"/>
      <c r="O636" s="27"/>
      <c r="P636" s="27"/>
      <c r="Q636" s="27"/>
      <c r="R636" s="27"/>
      <c r="S636" s="27"/>
      <c r="T636" s="27"/>
      <c r="U636" s="27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 ht="13.6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27"/>
      <c r="O637" s="27"/>
      <c r="P637" s="27"/>
      <c r="Q637" s="27"/>
      <c r="R637" s="27"/>
      <c r="S637" s="27"/>
      <c r="T637" s="27"/>
      <c r="U637" s="27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ht="13.6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27"/>
      <c r="O638" s="27"/>
      <c r="P638" s="27"/>
      <c r="Q638" s="27"/>
      <c r="R638" s="27"/>
      <c r="S638" s="27"/>
      <c r="T638" s="27"/>
      <c r="U638" s="27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 ht="13.6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27"/>
      <c r="O639" s="27"/>
      <c r="P639" s="27"/>
      <c r="Q639" s="27"/>
      <c r="R639" s="27"/>
      <c r="S639" s="27"/>
      <c r="T639" s="27"/>
      <c r="U639" s="27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ht="13.6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27"/>
      <c r="O640" s="27"/>
      <c r="P640" s="27"/>
      <c r="Q640" s="27"/>
      <c r="R640" s="27"/>
      <c r="S640" s="27"/>
      <c r="T640" s="27"/>
      <c r="U640" s="27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 ht="13.6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27"/>
      <c r="O641" s="27"/>
      <c r="P641" s="27"/>
      <c r="Q641" s="27"/>
      <c r="R641" s="27"/>
      <c r="S641" s="27"/>
      <c r="T641" s="27"/>
      <c r="U641" s="27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ht="13.6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27"/>
      <c r="O642" s="27"/>
      <c r="P642" s="27"/>
      <c r="Q642" s="27"/>
      <c r="R642" s="27"/>
      <c r="S642" s="27"/>
      <c r="T642" s="27"/>
      <c r="U642" s="27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 ht="13.6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27"/>
      <c r="O643" s="27"/>
      <c r="P643" s="27"/>
      <c r="Q643" s="27"/>
      <c r="R643" s="27"/>
      <c r="S643" s="27"/>
      <c r="T643" s="27"/>
      <c r="U643" s="27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ht="13.6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27"/>
      <c r="O644" s="27"/>
      <c r="P644" s="27"/>
      <c r="Q644" s="27"/>
      <c r="R644" s="27"/>
      <c r="S644" s="27"/>
      <c r="T644" s="27"/>
      <c r="U644" s="27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 ht="13.6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27"/>
      <c r="O645" s="27"/>
      <c r="P645" s="27"/>
      <c r="Q645" s="27"/>
      <c r="R645" s="27"/>
      <c r="S645" s="27"/>
      <c r="T645" s="27"/>
      <c r="U645" s="27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ht="13.6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27"/>
      <c r="O646" s="27"/>
      <c r="P646" s="27"/>
      <c r="Q646" s="27"/>
      <c r="R646" s="27"/>
      <c r="S646" s="27"/>
      <c r="T646" s="27"/>
      <c r="U646" s="27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 ht="13.6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27"/>
      <c r="O647" s="27"/>
      <c r="P647" s="27"/>
      <c r="Q647" s="27"/>
      <c r="R647" s="27"/>
      <c r="S647" s="27"/>
      <c r="T647" s="27"/>
      <c r="U647" s="27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ht="13.6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27"/>
      <c r="O648" s="27"/>
      <c r="P648" s="27"/>
      <c r="Q648" s="27"/>
      <c r="R648" s="27"/>
      <c r="S648" s="27"/>
      <c r="T648" s="27"/>
      <c r="U648" s="27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 ht="13.6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27"/>
      <c r="O649" s="27"/>
      <c r="P649" s="27"/>
      <c r="Q649" s="27"/>
      <c r="R649" s="27"/>
      <c r="S649" s="27"/>
      <c r="T649" s="27"/>
      <c r="U649" s="27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ht="13.6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27"/>
      <c r="O650" s="27"/>
      <c r="P650" s="27"/>
      <c r="Q650" s="27"/>
      <c r="R650" s="27"/>
      <c r="S650" s="27"/>
      <c r="T650" s="27"/>
      <c r="U650" s="27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 ht="13.6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27"/>
      <c r="O651" s="27"/>
      <c r="P651" s="27"/>
      <c r="Q651" s="27"/>
      <c r="R651" s="27"/>
      <c r="S651" s="27"/>
      <c r="T651" s="27"/>
      <c r="U651" s="27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ht="13.6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27"/>
      <c r="O652" s="27"/>
      <c r="P652" s="27"/>
      <c r="Q652" s="27"/>
      <c r="R652" s="27"/>
      <c r="S652" s="27"/>
      <c r="T652" s="27"/>
      <c r="U652" s="27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 ht="13.6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27"/>
      <c r="O653" s="27"/>
      <c r="P653" s="27"/>
      <c r="Q653" s="27"/>
      <c r="R653" s="27"/>
      <c r="S653" s="27"/>
      <c r="T653" s="27"/>
      <c r="U653" s="27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ht="13.6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27"/>
      <c r="O654" s="27"/>
      <c r="P654" s="27"/>
      <c r="Q654" s="27"/>
      <c r="R654" s="27"/>
      <c r="S654" s="27"/>
      <c r="T654" s="27"/>
      <c r="U654" s="27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 ht="13.6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27"/>
      <c r="O655" s="27"/>
      <c r="P655" s="27"/>
      <c r="Q655" s="27"/>
      <c r="R655" s="27"/>
      <c r="S655" s="27"/>
      <c r="T655" s="27"/>
      <c r="U655" s="27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ht="13.6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27"/>
      <c r="O656" s="27"/>
      <c r="P656" s="27"/>
      <c r="Q656" s="27"/>
      <c r="R656" s="27"/>
      <c r="S656" s="27"/>
      <c r="T656" s="27"/>
      <c r="U656" s="27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 ht="13.6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27"/>
      <c r="O657" s="27"/>
      <c r="P657" s="27"/>
      <c r="Q657" s="27"/>
      <c r="R657" s="27"/>
      <c r="S657" s="27"/>
      <c r="T657" s="27"/>
      <c r="U657" s="27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ht="13.6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27"/>
      <c r="O658" s="27"/>
      <c r="P658" s="27"/>
      <c r="Q658" s="27"/>
      <c r="R658" s="27"/>
      <c r="S658" s="27"/>
      <c r="T658" s="27"/>
      <c r="U658" s="27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 ht="13.6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27"/>
      <c r="O659" s="27"/>
      <c r="P659" s="27"/>
      <c r="Q659" s="27"/>
      <c r="R659" s="27"/>
      <c r="S659" s="27"/>
      <c r="T659" s="27"/>
      <c r="U659" s="27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ht="13.6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27"/>
      <c r="O660" s="27"/>
      <c r="P660" s="27"/>
      <c r="Q660" s="27"/>
      <c r="R660" s="27"/>
      <c r="S660" s="27"/>
      <c r="T660" s="27"/>
      <c r="U660" s="27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 ht="13.6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27"/>
      <c r="O661" s="27"/>
      <c r="P661" s="27"/>
      <c r="Q661" s="27"/>
      <c r="R661" s="27"/>
      <c r="S661" s="27"/>
      <c r="T661" s="27"/>
      <c r="U661" s="27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ht="13.6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27"/>
      <c r="O662" s="27"/>
      <c r="P662" s="27"/>
      <c r="Q662" s="27"/>
      <c r="R662" s="27"/>
      <c r="S662" s="27"/>
      <c r="T662" s="27"/>
      <c r="U662" s="27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 ht="13.6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27"/>
      <c r="O663" s="27"/>
      <c r="P663" s="27"/>
      <c r="Q663" s="27"/>
      <c r="R663" s="27"/>
      <c r="S663" s="27"/>
      <c r="T663" s="27"/>
      <c r="U663" s="27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ht="13.6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27"/>
      <c r="O664" s="27"/>
      <c r="P664" s="27"/>
      <c r="Q664" s="27"/>
      <c r="R664" s="27"/>
      <c r="S664" s="27"/>
      <c r="T664" s="27"/>
      <c r="U664" s="27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 ht="13.6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27"/>
      <c r="O665" s="27"/>
      <c r="P665" s="27"/>
      <c r="Q665" s="27"/>
      <c r="R665" s="27"/>
      <c r="S665" s="27"/>
      <c r="T665" s="27"/>
      <c r="U665" s="27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ht="13.6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27"/>
      <c r="O666" s="27"/>
      <c r="P666" s="27"/>
      <c r="Q666" s="27"/>
      <c r="R666" s="27"/>
      <c r="S666" s="27"/>
      <c r="T666" s="27"/>
      <c r="U666" s="27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 ht="13.6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27"/>
      <c r="O667" s="27"/>
      <c r="P667" s="27"/>
      <c r="Q667" s="27"/>
      <c r="R667" s="27"/>
      <c r="S667" s="27"/>
      <c r="T667" s="27"/>
      <c r="U667" s="27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ht="13.6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27"/>
      <c r="O668" s="27"/>
      <c r="P668" s="27"/>
      <c r="Q668" s="27"/>
      <c r="R668" s="27"/>
      <c r="S668" s="27"/>
      <c r="T668" s="27"/>
      <c r="U668" s="27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 ht="13.6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27"/>
      <c r="O669" s="27"/>
      <c r="P669" s="27"/>
      <c r="Q669" s="27"/>
      <c r="R669" s="27"/>
      <c r="S669" s="27"/>
      <c r="T669" s="27"/>
      <c r="U669" s="27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ht="13.6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27"/>
      <c r="O670" s="27"/>
      <c r="P670" s="27"/>
      <c r="Q670" s="27"/>
      <c r="R670" s="27"/>
      <c r="S670" s="27"/>
      <c r="T670" s="27"/>
      <c r="U670" s="27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 ht="13.6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27"/>
      <c r="O671" s="27"/>
      <c r="P671" s="27"/>
      <c r="Q671" s="27"/>
      <c r="R671" s="27"/>
      <c r="S671" s="27"/>
      <c r="T671" s="27"/>
      <c r="U671" s="27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ht="13.6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27"/>
      <c r="O672" s="27"/>
      <c r="P672" s="27"/>
      <c r="Q672" s="27"/>
      <c r="R672" s="27"/>
      <c r="S672" s="27"/>
      <c r="T672" s="27"/>
      <c r="U672" s="27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 ht="13.6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27"/>
      <c r="O673" s="27"/>
      <c r="P673" s="27"/>
      <c r="Q673" s="27"/>
      <c r="R673" s="27"/>
      <c r="S673" s="27"/>
      <c r="T673" s="27"/>
      <c r="U673" s="27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ht="13.6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27"/>
      <c r="O674" s="27"/>
      <c r="P674" s="27"/>
      <c r="Q674" s="27"/>
      <c r="R674" s="27"/>
      <c r="S674" s="27"/>
      <c r="T674" s="27"/>
      <c r="U674" s="27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 ht="13.6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27"/>
      <c r="O675" s="27"/>
      <c r="P675" s="27"/>
      <c r="Q675" s="27"/>
      <c r="R675" s="27"/>
      <c r="S675" s="27"/>
      <c r="T675" s="27"/>
      <c r="U675" s="27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ht="13.6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27"/>
      <c r="O676" s="27"/>
      <c r="P676" s="27"/>
      <c r="Q676" s="27"/>
      <c r="R676" s="27"/>
      <c r="S676" s="27"/>
      <c r="T676" s="27"/>
      <c r="U676" s="27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 ht="13.6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27"/>
      <c r="O677" s="27"/>
      <c r="P677" s="27"/>
      <c r="Q677" s="27"/>
      <c r="R677" s="27"/>
      <c r="S677" s="27"/>
      <c r="T677" s="27"/>
      <c r="U677" s="27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ht="13.6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27"/>
      <c r="O678" s="27"/>
      <c r="P678" s="27"/>
      <c r="Q678" s="27"/>
      <c r="R678" s="27"/>
      <c r="S678" s="27"/>
      <c r="T678" s="27"/>
      <c r="U678" s="27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 ht="13.6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27"/>
      <c r="O679" s="27"/>
      <c r="P679" s="27"/>
      <c r="Q679" s="27"/>
      <c r="R679" s="27"/>
      <c r="S679" s="27"/>
      <c r="T679" s="27"/>
      <c r="U679" s="27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ht="13.6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27"/>
      <c r="O680" s="27"/>
      <c r="P680" s="27"/>
      <c r="Q680" s="27"/>
      <c r="R680" s="27"/>
      <c r="S680" s="27"/>
      <c r="T680" s="27"/>
      <c r="U680" s="27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 ht="13.6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27"/>
      <c r="O681" s="27"/>
      <c r="P681" s="27"/>
      <c r="Q681" s="27"/>
      <c r="R681" s="27"/>
      <c r="S681" s="27"/>
      <c r="T681" s="27"/>
      <c r="U681" s="27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ht="13.6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27"/>
      <c r="O682" s="27"/>
      <c r="P682" s="27"/>
      <c r="Q682" s="27"/>
      <c r="R682" s="27"/>
      <c r="S682" s="27"/>
      <c r="T682" s="27"/>
      <c r="U682" s="27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 ht="13.6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27"/>
      <c r="O683" s="27"/>
      <c r="P683" s="27"/>
      <c r="Q683" s="27"/>
      <c r="R683" s="27"/>
      <c r="S683" s="27"/>
      <c r="T683" s="27"/>
      <c r="U683" s="27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ht="13.6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27"/>
      <c r="O684" s="27"/>
      <c r="P684" s="27"/>
      <c r="Q684" s="27"/>
      <c r="R684" s="27"/>
      <c r="S684" s="27"/>
      <c r="T684" s="27"/>
      <c r="U684" s="27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 ht="13.6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27"/>
      <c r="O685" s="27"/>
      <c r="P685" s="27"/>
      <c r="Q685" s="27"/>
      <c r="R685" s="27"/>
      <c r="S685" s="27"/>
      <c r="T685" s="27"/>
      <c r="U685" s="27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ht="13.6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27"/>
      <c r="O686" s="27"/>
      <c r="P686" s="27"/>
      <c r="Q686" s="27"/>
      <c r="R686" s="27"/>
      <c r="S686" s="27"/>
      <c r="T686" s="27"/>
      <c r="U686" s="27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 ht="13.6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27"/>
      <c r="O687" s="27"/>
      <c r="P687" s="27"/>
      <c r="Q687" s="27"/>
      <c r="R687" s="27"/>
      <c r="S687" s="27"/>
      <c r="T687" s="27"/>
      <c r="U687" s="27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ht="13.6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27"/>
      <c r="O688" s="27"/>
      <c r="P688" s="27"/>
      <c r="Q688" s="27"/>
      <c r="R688" s="27"/>
      <c r="S688" s="27"/>
      <c r="T688" s="27"/>
      <c r="U688" s="27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 ht="13.6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27"/>
      <c r="O689" s="27"/>
      <c r="P689" s="27"/>
      <c r="Q689" s="27"/>
      <c r="R689" s="27"/>
      <c r="S689" s="27"/>
      <c r="T689" s="27"/>
      <c r="U689" s="27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ht="13.6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27"/>
      <c r="O690" s="27"/>
      <c r="P690" s="27"/>
      <c r="Q690" s="27"/>
      <c r="R690" s="27"/>
      <c r="S690" s="27"/>
      <c r="T690" s="27"/>
      <c r="U690" s="27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 ht="13.6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27"/>
      <c r="O691" s="27"/>
      <c r="P691" s="27"/>
      <c r="Q691" s="27"/>
      <c r="R691" s="27"/>
      <c r="S691" s="27"/>
      <c r="T691" s="27"/>
      <c r="U691" s="27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ht="13.6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27"/>
      <c r="O692" s="27"/>
      <c r="P692" s="27"/>
      <c r="Q692" s="27"/>
      <c r="R692" s="27"/>
      <c r="S692" s="27"/>
      <c r="T692" s="27"/>
      <c r="U692" s="27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 ht="13.6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27"/>
      <c r="O693" s="27"/>
      <c r="P693" s="27"/>
      <c r="Q693" s="27"/>
      <c r="R693" s="27"/>
      <c r="S693" s="27"/>
      <c r="T693" s="27"/>
      <c r="U693" s="27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ht="13.6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27"/>
      <c r="O694" s="27"/>
      <c r="P694" s="27"/>
      <c r="Q694" s="27"/>
      <c r="R694" s="27"/>
      <c r="S694" s="27"/>
      <c r="T694" s="27"/>
      <c r="U694" s="27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 ht="13.6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27"/>
      <c r="O695" s="27"/>
      <c r="P695" s="27"/>
      <c r="Q695" s="27"/>
      <c r="R695" s="27"/>
      <c r="S695" s="27"/>
      <c r="T695" s="27"/>
      <c r="U695" s="27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ht="13.6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27"/>
      <c r="O696" s="27"/>
      <c r="P696" s="27"/>
      <c r="Q696" s="27"/>
      <c r="R696" s="27"/>
      <c r="S696" s="27"/>
      <c r="T696" s="27"/>
      <c r="U696" s="27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 ht="13.6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27"/>
      <c r="O697" s="27"/>
      <c r="P697" s="27"/>
      <c r="Q697" s="27"/>
      <c r="R697" s="27"/>
      <c r="S697" s="27"/>
      <c r="T697" s="27"/>
      <c r="U697" s="27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ht="13.6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27"/>
      <c r="O698" s="27"/>
      <c r="P698" s="27"/>
      <c r="Q698" s="27"/>
      <c r="R698" s="27"/>
      <c r="S698" s="27"/>
      <c r="T698" s="27"/>
      <c r="U698" s="27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 ht="13.6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27"/>
      <c r="O699" s="27"/>
      <c r="P699" s="27"/>
      <c r="Q699" s="27"/>
      <c r="R699" s="27"/>
      <c r="S699" s="27"/>
      <c r="T699" s="27"/>
      <c r="U699" s="27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ht="13.6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27"/>
      <c r="O700" s="27"/>
      <c r="P700" s="27"/>
      <c r="Q700" s="27"/>
      <c r="R700" s="27"/>
      <c r="S700" s="27"/>
      <c r="T700" s="27"/>
      <c r="U700" s="27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 ht="13.6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27"/>
      <c r="O701" s="27"/>
      <c r="P701" s="27"/>
      <c r="Q701" s="27"/>
      <c r="R701" s="27"/>
      <c r="S701" s="27"/>
      <c r="T701" s="27"/>
      <c r="U701" s="27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ht="13.6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27"/>
      <c r="O702" s="27"/>
      <c r="P702" s="27"/>
      <c r="Q702" s="27"/>
      <c r="R702" s="27"/>
      <c r="S702" s="27"/>
      <c r="T702" s="27"/>
      <c r="U702" s="27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 ht="13.6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27"/>
      <c r="O703" s="27"/>
      <c r="P703" s="27"/>
      <c r="Q703" s="27"/>
      <c r="R703" s="27"/>
      <c r="S703" s="27"/>
      <c r="T703" s="27"/>
      <c r="U703" s="27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ht="13.6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27"/>
      <c r="O704" s="27"/>
      <c r="P704" s="27"/>
      <c r="Q704" s="27"/>
      <c r="R704" s="27"/>
      <c r="S704" s="27"/>
      <c r="T704" s="27"/>
      <c r="U704" s="27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 ht="13.6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27"/>
      <c r="O705" s="27"/>
      <c r="P705" s="27"/>
      <c r="Q705" s="27"/>
      <c r="R705" s="27"/>
      <c r="S705" s="27"/>
      <c r="T705" s="27"/>
      <c r="U705" s="27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ht="13.6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27"/>
      <c r="O706" s="27"/>
      <c r="P706" s="27"/>
      <c r="Q706" s="27"/>
      <c r="R706" s="27"/>
      <c r="S706" s="27"/>
      <c r="T706" s="27"/>
      <c r="U706" s="27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 ht="13.6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27"/>
      <c r="O707" s="27"/>
      <c r="P707" s="27"/>
      <c r="Q707" s="27"/>
      <c r="R707" s="27"/>
      <c r="S707" s="27"/>
      <c r="T707" s="27"/>
      <c r="U707" s="27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ht="13.6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27"/>
      <c r="O708" s="27"/>
      <c r="P708" s="27"/>
      <c r="Q708" s="27"/>
      <c r="R708" s="27"/>
      <c r="S708" s="27"/>
      <c r="T708" s="27"/>
      <c r="U708" s="27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 ht="13.6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27"/>
      <c r="O709" s="27"/>
      <c r="P709" s="27"/>
      <c r="Q709" s="27"/>
      <c r="R709" s="27"/>
      <c r="S709" s="27"/>
      <c r="T709" s="27"/>
      <c r="U709" s="27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ht="13.6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27"/>
      <c r="O710" s="27"/>
      <c r="P710" s="27"/>
      <c r="Q710" s="27"/>
      <c r="R710" s="27"/>
      <c r="S710" s="27"/>
      <c r="T710" s="27"/>
      <c r="U710" s="27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 ht="13.6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27"/>
      <c r="O711" s="27"/>
      <c r="P711" s="27"/>
      <c r="Q711" s="27"/>
      <c r="R711" s="27"/>
      <c r="S711" s="27"/>
      <c r="T711" s="27"/>
      <c r="U711" s="27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ht="13.6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27"/>
      <c r="O712" s="27"/>
      <c r="P712" s="27"/>
      <c r="Q712" s="27"/>
      <c r="R712" s="27"/>
      <c r="S712" s="27"/>
      <c r="T712" s="27"/>
      <c r="U712" s="27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 ht="13.6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27"/>
      <c r="O713" s="27"/>
      <c r="P713" s="27"/>
      <c r="Q713" s="27"/>
      <c r="R713" s="27"/>
      <c r="S713" s="27"/>
      <c r="T713" s="27"/>
      <c r="U713" s="27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ht="13.6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27"/>
      <c r="O714" s="27"/>
      <c r="P714" s="27"/>
      <c r="Q714" s="27"/>
      <c r="R714" s="27"/>
      <c r="S714" s="27"/>
      <c r="T714" s="27"/>
      <c r="U714" s="27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 ht="13.6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27"/>
      <c r="O715" s="27"/>
      <c r="P715" s="27"/>
      <c r="Q715" s="27"/>
      <c r="R715" s="27"/>
      <c r="S715" s="27"/>
      <c r="T715" s="27"/>
      <c r="U715" s="27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ht="13.6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27"/>
      <c r="O716" s="27"/>
      <c r="P716" s="27"/>
      <c r="Q716" s="27"/>
      <c r="R716" s="27"/>
      <c r="S716" s="27"/>
      <c r="T716" s="27"/>
      <c r="U716" s="27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 ht="13.6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27"/>
      <c r="O717" s="27"/>
      <c r="P717" s="27"/>
      <c r="Q717" s="27"/>
      <c r="R717" s="27"/>
      <c r="S717" s="27"/>
      <c r="T717" s="27"/>
      <c r="U717" s="27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ht="13.6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27"/>
      <c r="O718" s="27"/>
      <c r="P718" s="27"/>
      <c r="Q718" s="27"/>
      <c r="R718" s="27"/>
      <c r="S718" s="27"/>
      <c r="T718" s="27"/>
      <c r="U718" s="27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 ht="13.6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27"/>
      <c r="O719" s="27"/>
      <c r="P719" s="27"/>
      <c r="Q719" s="27"/>
      <c r="R719" s="27"/>
      <c r="S719" s="27"/>
      <c r="T719" s="27"/>
      <c r="U719" s="27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ht="13.6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27"/>
      <c r="O720" s="27"/>
      <c r="P720" s="27"/>
      <c r="Q720" s="27"/>
      <c r="R720" s="27"/>
      <c r="S720" s="27"/>
      <c r="T720" s="27"/>
      <c r="U720" s="27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 ht="13.6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27"/>
      <c r="O721" s="27"/>
      <c r="P721" s="27"/>
      <c r="Q721" s="27"/>
      <c r="R721" s="27"/>
      <c r="S721" s="27"/>
      <c r="T721" s="27"/>
      <c r="U721" s="27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ht="13.6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27"/>
      <c r="O722" s="27"/>
      <c r="P722" s="27"/>
      <c r="Q722" s="27"/>
      <c r="R722" s="27"/>
      <c r="S722" s="27"/>
      <c r="T722" s="27"/>
      <c r="U722" s="27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 ht="13.6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27"/>
      <c r="O723" s="27"/>
      <c r="P723" s="27"/>
      <c r="Q723" s="27"/>
      <c r="R723" s="27"/>
      <c r="S723" s="27"/>
      <c r="T723" s="27"/>
      <c r="U723" s="27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ht="13.6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27"/>
      <c r="O724" s="27"/>
      <c r="P724" s="27"/>
      <c r="Q724" s="27"/>
      <c r="R724" s="27"/>
      <c r="S724" s="27"/>
      <c r="T724" s="27"/>
      <c r="U724" s="27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 ht="13.6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27"/>
      <c r="O725" s="27"/>
      <c r="P725" s="27"/>
      <c r="Q725" s="27"/>
      <c r="R725" s="27"/>
      <c r="S725" s="27"/>
      <c r="T725" s="27"/>
      <c r="U725" s="27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ht="13.6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27"/>
      <c r="O726" s="27"/>
      <c r="P726" s="27"/>
      <c r="Q726" s="27"/>
      <c r="R726" s="27"/>
      <c r="S726" s="27"/>
      <c r="T726" s="27"/>
      <c r="U726" s="27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 ht="13.6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27"/>
      <c r="O727" s="27"/>
      <c r="P727" s="27"/>
      <c r="Q727" s="27"/>
      <c r="R727" s="27"/>
      <c r="S727" s="27"/>
      <c r="T727" s="27"/>
      <c r="U727" s="27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ht="13.6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27"/>
      <c r="O728" s="27"/>
      <c r="P728" s="27"/>
      <c r="Q728" s="27"/>
      <c r="R728" s="27"/>
      <c r="S728" s="27"/>
      <c r="T728" s="27"/>
      <c r="U728" s="27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 ht="13.6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27"/>
      <c r="O729" s="27"/>
      <c r="P729" s="27"/>
      <c r="Q729" s="27"/>
      <c r="R729" s="27"/>
      <c r="S729" s="27"/>
      <c r="T729" s="27"/>
      <c r="U729" s="27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ht="13.6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27"/>
      <c r="O730" s="27"/>
      <c r="P730" s="27"/>
      <c r="Q730" s="27"/>
      <c r="R730" s="27"/>
      <c r="S730" s="27"/>
      <c r="T730" s="27"/>
      <c r="U730" s="27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 ht="13.6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27"/>
      <c r="O731" s="27"/>
      <c r="P731" s="27"/>
      <c r="Q731" s="27"/>
      <c r="R731" s="27"/>
      <c r="S731" s="27"/>
      <c r="T731" s="27"/>
      <c r="U731" s="27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ht="13.6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27"/>
      <c r="O732" s="27"/>
      <c r="P732" s="27"/>
      <c r="Q732" s="27"/>
      <c r="R732" s="27"/>
      <c r="S732" s="27"/>
      <c r="T732" s="27"/>
      <c r="U732" s="27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 ht="13.6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27"/>
      <c r="O733" s="27"/>
      <c r="P733" s="27"/>
      <c r="Q733" s="27"/>
      <c r="R733" s="27"/>
      <c r="S733" s="27"/>
      <c r="T733" s="27"/>
      <c r="U733" s="27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ht="13.6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27"/>
      <c r="O734" s="27"/>
      <c r="P734" s="27"/>
      <c r="Q734" s="27"/>
      <c r="R734" s="27"/>
      <c r="S734" s="27"/>
      <c r="T734" s="27"/>
      <c r="U734" s="27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 ht="13.6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27"/>
      <c r="O735" s="27"/>
      <c r="P735" s="27"/>
      <c r="Q735" s="27"/>
      <c r="R735" s="27"/>
      <c r="S735" s="27"/>
      <c r="T735" s="27"/>
      <c r="U735" s="27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ht="13.6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27"/>
      <c r="O736" s="27"/>
      <c r="P736" s="27"/>
      <c r="Q736" s="27"/>
      <c r="R736" s="27"/>
      <c r="S736" s="27"/>
      <c r="T736" s="27"/>
      <c r="U736" s="27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 ht="13.6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27"/>
      <c r="O737" s="27"/>
      <c r="P737" s="27"/>
      <c r="Q737" s="27"/>
      <c r="R737" s="27"/>
      <c r="S737" s="27"/>
      <c r="T737" s="27"/>
      <c r="U737" s="27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ht="13.6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27"/>
      <c r="O738" s="27"/>
      <c r="P738" s="27"/>
      <c r="Q738" s="27"/>
      <c r="R738" s="27"/>
      <c r="S738" s="27"/>
      <c r="T738" s="27"/>
      <c r="U738" s="27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 ht="13.6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27"/>
      <c r="O739" s="27"/>
      <c r="P739" s="27"/>
      <c r="Q739" s="27"/>
      <c r="R739" s="27"/>
      <c r="S739" s="27"/>
      <c r="T739" s="27"/>
      <c r="U739" s="27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ht="13.6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27"/>
      <c r="O740" s="27"/>
      <c r="P740" s="27"/>
      <c r="Q740" s="27"/>
      <c r="R740" s="27"/>
      <c r="S740" s="27"/>
      <c r="T740" s="27"/>
      <c r="U740" s="27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 ht="13.6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27"/>
      <c r="O741" s="27"/>
      <c r="P741" s="27"/>
      <c r="Q741" s="27"/>
      <c r="R741" s="27"/>
      <c r="S741" s="27"/>
      <c r="T741" s="27"/>
      <c r="U741" s="27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ht="13.6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27"/>
      <c r="O742" s="27"/>
      <c r="P742" s="27"/>
      <c r="Q742" s="27"/>
      <c r="R742" s="27"/>
      <c r="S742" s="27"/>
      <c r="T742" s="27"/>
      <c r="U742" s="27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 ht="13.6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27"/>
      <c r="O743" s="27"/>
      <c r="P743" s="27"/>
      <c r="Q743" s="27"/>
      <c r="R743" s="27"/>
      <c r="S743" s="27"/>
      <c r="T743" s="27"/>
      <c r="U743" s="27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ht="13.6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27"/>
      <c r="O744" s="27"/>
      <c r="P744" s="27"/>
      <c r="Q744" s="27"/>
      <c r="R744" s="27"/>
      <c r="S744" s="27"/>
      <c r="T744" s="27"/>
      <c r="U744" s="27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 ht="13.6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27"/>
      <c r="O745" s="27"/>
      <c r="P745" s="27"/>
      <c r="Q745" s="27"/>
      <c r="R745" s="27"/>
      <c r="S745" s="27"/>
      <c r="T745" s="27"/>
      <c r="U745" s="27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ht="13.6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27"/>
      <c r="O746" s="27"/>
      <c r="P746" s="27"/>
      <c r="Q746" s="27"/>
      <c r="R746" s="27"/>
      <c r="S746" s="27"/>
      <c r="T746" s="27"/>
      <c r="U746" s="27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 ht="13.6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27"/>
      <c r="O747" s="27"/>
      <c r="P747" s="27"/>
      <c r="Q747" s="27"/>
      <c r="R747" s="27"/>
      <c r="S747" s="27"/>
      <c r="T747" s="27"/>
      <c r="U747" s="27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ht="13.6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27"/>
      <c r="O748" s="27"/>
      <c r="P748" s="27"/>
      <c r="Q748" s="27"/>
      <c r="R748" s="27"/>
      <c r="S748" s="27"/>
      <c r="T748" s="27"/>
      <c r="U748" s="27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 ht="13.6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27"/>
      <c r="O749" s="27"/>
      <c r="P749" s="27"/>
      <c r="Q749" s="27"/>
      <c r="R749" s="27"/>
      <c r="S749" s="27"/>
      <c r="T749" s="27"/>
      <c r="U749" s="27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ht="13.6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27"/>
      <c r="O750" s="27"/>
      <c r="P750" s="27"/>
      <c r="Q750" s="27"/>
      <c r="R750" s="27"/>
      <c r="S750" s="27"/>
      <c r="T750" s="27"/>
      <c r="U750" s="27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 ht="13.6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27"/>
      <c r="O751" s="27"/>
      <c r="P751" s="27"/>
      <c r="Q751" s="27"/>
      <c r="R751" s="27"/>
      <c r="S751" s="27"/>
      <c r="T751" s="27"/>
      <c r="U751" s="27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ht="13.6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27"/>
      <c r="O752" s="27"/>
      <c r="P752" s="27"/>
      <c r="Q752" s="27"/>
      <c r="R752" s="27"/>
      <c r="S752" s="27"/>
      <c r="T752" s="27"/>
      <c r="U752" s="27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 ht="13.6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27"/>
      <c r="O753" s="27"/>
      <c r="P753" s="27"/>
      <c r="Q753" s="27"/>
      <c r="R753" s="27"/>
      <c r="S753" s="27"/>
      <c r="T753" s="27"/>
      <c r="U753" s="27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ht="13.6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27"/>
      <c r="O754" s="27"/>
      <c r="P754" s="27"/>
      <c r="Q754" s="27"/>
      <c r="R754" s="27"/>
      <c r="S754" s="27"/>
      <c r="T754" s="27"/>
      <c r="U754" s="27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 ht="13.6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27"/>
      <c r="O755" s="27"/>
      <c r="P755" s="27"/>
      <c r="Q755" s="27"/>
      <c r="R755" s="27"/>
      <c r="S755" s="27"/>
      <c r="T755" s="27"/>
      <c r="U755" s="27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ht="13.6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27"/>
      <c r="O756" s="27"/>
      <c r="P756" s="27"/>
      <c r="Q756" s="27"/>
      <c r="R756" s="27"/>
      <c r="S756" s="27"/>
      <c r="T756" s="27"/>
      <c r="U756" s="27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 ht="13.6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27"/>
      <c r="O757" s="27"/>
      <c r="P757" s="27"/>
      <c r="Q757" s="27"/>
      <c r="R757" s="27"/>
      <c r="S757" s="27"/>
      <c r="T757" s="27"/>
      <c r="U757" s="27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ht="13.6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27"/>
      <c r="O758" s="27"/>
      <c r="P758" s="27"/>
      <c r="Q758" s="27"/>
      <c r="R758" s="27"/>
      <c r="S758" s="27"/>
      <c r="T758" s="27"/>
      <c r="U758" s="27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 ht="13.6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27"/>
      <c r="O759" s="27"/>
      <c r="P759" s="27"/>
      <c r="Q759" s="27"/>
      <c r="R759" s="27"/>
      <c r="S759" s="27"/>
      <c r="T759" s="27"/>
      <c r="U759" s="27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ht="13.6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27"/>
      <c r="O760" s="27"/>
      <c r="P760" s="27"/>
      <c r="Q760" s="27"/>
      <c r="R760" s="27"/>
      <c r="S760" s="27"/>
      <c r="T760" s="27"/>
      <c r="U760" s="27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 ht="13.6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27"/>
      <c r="O761" s="27"/>
      <c r="P761" s="27"/>
      <c r="Q761" s="27"/>
      <c r="R761" s="27"/>
      <c r="S761" s="27"/>
      <c r="T761" s="27"/>
      <c r="U761" s="27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ht="13.6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27"/>
      <c r="O762" s="27"/>
      <c r="P762" s="27"/>
      <c r="Q762" s="27"/>
      <c r="R762" s="27"/>
      <c r="S762" s="27"/>
      <c r="T762" s="27"/>
      <c r="U762" s="27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 ht="13.6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27"/>
      <c r="O763" s="27"/>
      <c r="P763" s="27"/>
      <c r="Q763" s="27"/>
      <c r="R763" s="27"/>
      <c r="S763" s="27"/>
      <c r="T763" s="27"/>
      <c r="U763" s="27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ht="13.6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27"/>
      <c r="O764" s="27"/>
      <c r="P764" s="27"/>
      <c r="Q764" s="27"/>
      <c r="R764" s="27"/>
      <c r="S764" s="27"/>
      <c r="T764" s="27"/>
      <c r="U764" s="27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 ht="13.6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27"/>
      <c r="O765" s="27"/>
      <c r="P765" s="27"/>
      <c r="Q765" s="27"/>
      <c r="R765" s="27"/>
      <c r="S765" s="27"/>
      <c r="T765" s="27"/>
      <c r="U765" s="27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ht="13.6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27"/>
      <c r="O766" s="27"/>
      <c r="P766" s="27"/>
      <c r="Q766" s="27"/>
      <c r="R766" s="27"/>
      <c r="S766" s="27"/>
      <c r="T766" s="27"/>
      <c r="U766" s="27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 ht="13.6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27"/>
      <c r="O767" s="27"/>
      <c r="P767" s="27"/>
      <c r="Q767" s="27"/>
      <c r="R767" s="27"/>
      <c r="S767" s="27"/>
      <c r="T767" s="27"/>
      <c r="U767" s="27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ht="13.6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27"/>
      <c r="O768" s="27"/>
      <c r="P768" s="27"/>
      <c r="Q768" s="27"/>
      <c r="R768" s="27"/>
      <c r="S768" s="27"/>
      <c r="T768" s="27"/>
      <c r="U768" s="27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 ht="13.6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27"/>
      <c r="O769" s="27"/>
      <c r="P769" s="27"/>
      <c r="Q769" s="27"/>
      <c r="R769" s="27"/>
      <c r="S769" s="27"/>
      <c r="T769" s="27"/>
      <c r="U769" s="27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ht="13.6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27"/>
      <c r="O770" s="27"/>
      <c r="P770" s="27"/>
      <c r="Q770" s="27"/>
      <c r="R770" s="27"/>
      <c r="S770" s="27"/>
      <c r="T770" s="27"/>
      <c r="U770" s="27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 ht="13.6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27"/>
      <c r="O771" s="27"/>
      <c r="P771" s="27"/>
      <c r="Q771" s="27"/>
      <c r="R771" s="27"/>
      <c r="S771" s="27"/>
      <c r="T771" s="27"/>
      <c r="U771" s="27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ht="13.6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27"/>
      <c r="O772" s="27"/>
      <c r="P772" s="27"/>
      <c r="Q772" s="27"/>
      <c r="R772" s="27"/>
      <c r="S772" s="27"/>
      <c r="T772" s="27"/>
      <c r="U772" s="27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 ht="13.6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27"/>
      <c r="O773" s="27"/>
      <c r="P773" s="27"/>
      <c r="Q773" s="27"/>
      <c r="R773" s="27"/>
      <c r="S773" s="27"/>
      <c r="T773" s="27"/>
      <c r="U773" s="27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ht="13.6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27"/>
      <c r="O774" s="27"/>
      <c r="P774" s="27"/>
      <c r="Q774" s="27"/>
      <c r="R774" s="27"/>
      <c r="S774" s="27"/>
      <c r="T774" s="27"/>
      <c r="U774" s="27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 ht="13.6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27"/>
      <c r="O775" s="27"/>
      <c r="P775" s="27"/>
      <c r="Q775" s="27"/>
      <c r="R775" s="27"/>
      <c r="S775" s="27"/>
      <c r="T775" s="27"/>
      <c r="U775" s="27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ht="13.6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27"/>
      <c r="O776" s="27"/>
      <c r="P776" s="27"/>
      <c r="Q776" s="27"/>
      <c r="R776" s="27"/>
      <c r="S776" s="27"/>
      <c r="T776" s="27"/>
      <c r="U776" s="27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 ht="13.6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27"/>
      <c r="O777" s="27"/>
      <c r="P777" s="27"/>
      <c r="Q777" s="27"/>
      <c r="R777" s="27"/>
      <c r="S777" s="27"/>
      <c r="T777" s="27"/>
      <c r="U777" s="27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ht="13.6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27"/>
      <c r="O778" s="27"/>
      <c r="P778" s="27"/>
      <c r="Q778" s="27"/>
      <c r="R778" s="27"/>
      <c r="S778" s="27"/>
      <c r="T778" s="27"/>
      <c r="U778" s="27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 ht="13.6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27"/>
      <c r="O779" s="27"/>
      <c r="P779" s="27"/>
      <c r="Q779" s="27"/>
      <c r="R779" s="27"/>
      <c r="S779" s="27"/>
      <c r="T779" s="27"/>
      <c r="U779" s="27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ht="13.6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27"/>
      <c r="O780" s="27"/>
      <c r="P780" s="27"/>
      <c r="Q780" s="27"/>
      <c r="R780" s="27"/>
      <c r="S780" s="27"/>
      <c r="T780" s="27"/>
      <c r="U780" s="27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 ht="13.6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27"/>
      <c r="O781" s="27"/>
      <c r="P781" s="27"/>
      <c r="Q781" s="27"/>
      <c r="R781" s="27"/>
      <c r="S781" s="27"/>
      <c r="T781" s="27"/>
      <c r="U781" s="27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ht="13.6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27"/>
      <c r="O782" s="27"/>
      <c r="P782" s="27"/>
      <c r="Q782" s="27"/>
      <c r="R782" s="27"/>
      <c r="S782" s="27"/>
      <c r="T782" s="27"/>
      <c r="U782" s="27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 ht="13.6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27"/>
      <c r="O783" s="27"/>
      <c r="P783" s="27"/>
      <c r="Q783" s="27"/>
      <c r="R783" s="27"/>
      <c r="S783" s="27"/>
      <c r="T783" s="27"/>
      <c r="U783" s="27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ht="13.6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27"/>
      <c r="O784" s="27"/>
      <c r="P784" s="27"/>
      <c r="Q784" s="27"/>
      <c r="R784" s="27"/>
      <c r="S784" s="27"/>
      <c r="T784" s="27"/>
      <c r="U784" s="27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 ht="13.6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27"/>
      <c r="O785" s="27"/>
      <c r="P785" s="27"/>
      <c r="Q785" s="27"/>
      <c r="R785" s="27"/>
      <c r="S785" s="27"/>
      <c r="T785" s="27"/>
      <c r="U785" s="27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ht="13.6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27"/>
      <c r="O786" s="27"/>
      <c r="P786" s="27"/>
      <c r="Q786" s="27"/>
      <c r="R786" s="27"/>
      <c r="S786" s="27"/>
      <c r="T786" s="27"/>
      <c r="U786" s="27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 ht="13.6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27"/>
      <c r="O787" s="27"/>
      <c r="P787" s="27"/>
      <c r="Q787" s="27"/>
      <c r="R787" s="27"/>
      <c r="S787" s="27"/>
      <c r="T787" s="27"/>
      <c r="U787" s="27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ht="13.6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27"/>
      <c r="O788" s="27"/>
      <c r="P788" s="27"/>
      <c r="Q788" s="27"/>
      <c r="R788" s="27"/>
      <c r="S788" s="27"/>
      <c r="T788" s="27"/>
      <c r="U788" s="27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 ht="13.6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27"/>
      <c r="O789" s="27"/>
      <c r="P789" s="27"/>
      <c r="Q789" s="27"/>
      <c r="R789" s="27"/>
      <c r="S789" s="27"/>
      <c r="T789" s="27"/>
      <c r="U789" s="27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ht="13.6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27"/>
      <c r="O790" s="27"/>
      <c r="P790" s="27"/>
      <c r="Q790" s="27"/>
      <c r="R790" s="27"/>
      <c r="S790" s="27"/>
      <c r="T790" s="27"/>
      <c r="U790" s="27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 ht="13.6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27"/>
      <c r="O791" s="27"/>
      <c r="P791" s="27"/>
      <c r="Q791" s="27"/>
      <c r="R791" s="27"/>
      <c r="S791" s="27"/>
      <c r="T791" s="27"/>
      <c r="U791" s="27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ht="13.6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27"/>
      <c r="O792" s="27"/>
      <c r="P792" s="27"/>
      <c r="Q792" s="27"/>
      <c r="R792" s="27"/>
      <c r="S792" s="27"/>
      <c r="T792" s="27"/>
      <c r="U792" s="27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 ht="13.6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27"/>
      <c r="O793" s="27"/>
      <c r="P793" s="27"/>
      <c r="Q793" s="27"/>
      <c r="R793" s="27"/>
      <c r="S793" s="27"/>
      <c r="T793" s="27"/>
      <c r="U793" s="27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ht="13.6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27"/>
      <c r="O794" s="27"/>
      <c r="P794" s="27"/>
      <c r="Q794" s="27"/>
      <c r="R794" s="27"/>
      <c r="S794" s="27"/>
      <c r="T794" s="27"/>
      <c r="U794" s="27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 ht="13.6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27"/>
      <c r="O795" s="27"/>
      <c r="P795" s="27"/>
      <c r="Q795" s="27"/>
      <c r="R795" s="27"/>
      <c r="S795" s="27"/>
      <c r="T795" s="27"/>
      <c r="U795" s="27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ht="13.6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27"/>
      <c r="O796" s="27"/>
      <c r="P796" s="27"/>
      <c r="Q796" s="27"/>
      <c r="R796" s="27"/>
      <c r="S796" s="27"/>
      <c r="T796" s="27"/>
      <c r="U796" s="27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 ht="13.6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27"/>
      <c r="O797" s="27"/>
      <c r="P797" s="27"/>
      <c r="Q797" s="27"/>
      <c r="R797" s="27"/>
      <c r="S797" s="27"/>
      <c r="T797" s="27"/>
      <c r="U797" s="27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ht="13.6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27"/>
      <c r="O798" s="27"/>
      <c r="P798" s="27"/>
      <c r="Q798" s="27"/>
      <c r="R798" s="27"/>
      <c r="S798" s="27"/>
      <c r="T798" s="27"/>
      <c r="U798" s="27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 ht="13.6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27"/>
      <c r="O799" s="27"/>
      <c r="P799" s="27"/>
      <c r="Q799" s="27"/>
      <c r="R799" s="27"/>
      <c r="S799" s="27"/>
      <c r="T799" s="27"/>
      <c r="U799" s="27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ht="13.6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27"/>
      <c r="O800" s="27"/>
      <c r="P800" s="27"/>
      <c r="Q800" s="27"/>
      <c r="R800" s="27"/>
      <c r="S800" s="27"/>
      <c r="T800" s="27"/>
      <c r="U800" s="27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 ht="13.6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27"/>
      <c r="O801" s="27"/>
      <c r="P801" s="27"/>
      <c r="Q801" s="27"/>
      <c r="R801" s="27"/>
      <c r="S801" s="27"/>
      <c r="T801" s="27"/>
      <c r="U801" s="27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ht="13.6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27"/>
      <c r="O802" s="27"/>
      <c r="P802" s="27"/>
      <c r="Q802" s="27"/>
      <c r="R802" s="27"/>
      <c r="S802" s="27"/>
      <c r="T802" s="27"/>
      <c r="U802" s="27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 ht="13.6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27"/>
      <c r="O803" s="27"/>
      <c r="P803" s="27"/>
      <c r="Q803" s="27"/>
      <c r="R803" s="27"/>
      <c r="S803" s="27"/>
      <c r="T803" s="27"/>
      <c r="U803" s="27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ht="13.6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27"/>
      <c r="O804" s="27"/>
      <c r="P804" s="27"/>
      <c r="Q804" s="27"/>
      <c r="R804" s="27"/>
      <c r="S804" s="27"/>
      <c r="T804" s="27"/>
      <c r="U804" s="27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 ht="13.6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27"/>
      <c r="O805" s="27"/>
      <c r="P805" s="27"/>
      <c r="Q805" s="27"/>
      <c r="R805" s="27"/>
      <c r="S805" s="27"/>
      <c r="T805" s="27"/>
      <c r="U805" s="27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ht="13.6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27"/>
      <c r="O806" s="27"/>
      <c r="P806" s="27"/>
      <c r="Q806" s="27"/>
      <c r="R806" s="27"/>
      <c r="S806" s="27"/>
      <c r="T806" s="27"/>
      <c r="U806" s="27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 ht="13.6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27"/>
      <c r="O807" s="27"/>
      <c r="P807" s="27"/>
      <c r="Q807" s="27"/>
      <c r="R807" s="27"/>
      <c r="S807" s="27"/>
      <c r="T807" s="27"/>
      <c r="U807" s="27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ht="13.6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27"/>
      <c r="O808" s="27"/>
      <c r="P808" s="27"/>
      <c r="Q808" s="27"/>
      <c r="R808" s="27"/>
      <c r="S808" s="27"/>
      <c r="T808" s="27"/>
      <c r="U808" s="27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 ht="13.6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27"/>
      <c r="O809" s="27"/>
      <c r="P809" s="27"/>
      <c r="Q809" s="27"/>
      <c r="R809" s="27"/>
      <c r="S809" s="27"/>
      <c r="T809" s="27"/>
      <c r="U809" s="27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ht="13.6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27"/>
      <c r="O810" s="27"/>
      <c r="P810" s="27"/>
      <c r="Q810" s="27"/>
      <c r="R810" s="27"/>
      <c r="S810" s="27"/>
      <c r="T810" s="27"/>
      <c r="U810" s="27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 ht="13.6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27"/>
      <c r="O811" s="27"/>
      <c r="P811" s="27"/>
      <c r="Q811" s="27"/>
      <c r="R811" s="27"/>
      <c r="S811" s="27"/>
      <c r="T811" s="27"/>
      <c r="U811" s="27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ht="13.6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27"/>
      <c r="O812" s="27"/>
      <c r="P812" s="27"/>
      <c r="Q812" s="27"/>
      <c r="R812" s="27"/>
      <c r="S812" s="27"/>
      <c r="T812" s="27"/>
      <c r="U812" s="27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 ht="13.6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27"/>
      <c r="O813" s="27"/>
      <c r="P813" s="27"/>
      <c r="Q813" s="27"/>
      <c r="R813" s="27"/>
      <c r="S813" s="27"/>
      <c r="T813" s="27"/>
      <c r="U813" s="27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ht="13.6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27"/>
      <c r="O814" s="27"/>
      <c r="P814" s="27"/>
      <c r="Q814" s="27"/>
      <c r="R814" s="27"/>
      <c r="S814" s="27"/>
      <c r="T814" s="27"/>
      <c r="U814" s="27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 ht="13.6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27"/>
      <c r="O815" s="27"/>
      <c r="P815" s="27"/>
      <c r="Q815" s="27"/>
      <c r="R815" s="27"/>
      <c r="S815" s="27"/>
      <c r="T815" s="27"/>
      <c r="U815" s="27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ht="13.6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27"/>
      <c r="O816" s="27"/>
      <c r="P816" s="27"/>
      <c r="Q816" s="27"/>
      <c r="R816" s="27"/>
      <c r="S816" s="27"/>
      <c r="T816" s="27"/>
      <c r="U816" s="27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 ht="13.6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27"/>
      <c r="O817" s="27"/>
      <c r="P817" s="27"/>
      <c r="Q817" s="27"/>
      <c r="R817" s="27"/>
      <c r="S817" s="27"/>
      <c r="T817" s="27"/>
      <c r="U817" s="27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ht="13.6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27"/>
      <c r="O818" s="27"/>
      <c r="P818" s="27"/>
      <c r="Q818" s="27"/>
      <c r="R818" s="27"/>
      <c r="S818" s="27"/>
      <c r="T818" s="27"/>
      <c r="U818" s="27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 ht="13.6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27"/>
      <c r="O819" s="27"/>
      <c r="P819" s="27"/>
      <c r="Q819" s="27"/>
      <c r="R819" s="27"/>
      <c r="S819" s="27"/>
      <c r="T819" s="27"/>
      <c r="U819" s="27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ht="13.6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27"/>
      <c r="O820" s="27"/>
      <c r="P820" s="27"/>
      <c r="Q820" s="27"/>
      <c r="R820" s="27"/>
      <c r="S820" s="27"/>
      <c r="T820" s="27"/>
      <c r="U820" s="27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 ht="13.6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27"/>
      <c r="O821" s="27"/>
      <c r="P821" s="27"/>
      <c r="Q821" s="27"/>
      <c r="R821" s="27"/>
      <c r="S821" s="27"/>
      <c r="T821" s="27"/>
      <c r="U821" s="27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ht="13.6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27"/>
      <c r="O822" s="27"/>
      <c r="P822" s="27"/>
      <c r="Q822" s="27"/>
      <c r="R822" s="27"/>
      <c r="S822" s="27"/>
      <c r="T822" s="27"/>
      <c r="U822" s="27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 ht="13.6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27"/>
      <c r="O823" s="27"/>
      <c r="P823" s="27"/>
      <c r="Q823" s="27"/>
      <c r="R823" s="27"/>
      <c r="S823" s="27"/>
      <c r="T823" s="27"/>
      <c r="U823" s="27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ht="13.6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27"/>
      <c r="O824" s="27"/>
      <c r="P824" s="27"/>
      <c r="Q824" s="27"/>
      <c r="R824" s="27"/>
      <c r="S824" s="27"/>
      <c r="T824" s="27"/>
      <c r="U824" s="27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 ht="13.6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27"/>
      <c r="O825" s="27"/>
      <c r="P825" s="27"/>
      <c r="Q825" s="27"/>
      <c r="R825" s="27"/>
      <c r="S825" s="27"/>
      <c r="T825" s="27"/>
      <c r="U825" s="27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ht="13.6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27"/>
      <c r="O826" s="27"/>
      <c r="P826" s="27"/>
      <c r="Q826" s="27"/>
      <c r="R826" s="27"/>
      <c r="S826" s="27"/>
      <c r="T826" s="27"/>
      <c r="U826" s="27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 ht="13.6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27"/>
      <c r="O827" s="27"/>
      <c r="P827" s="27"/>
      <c r="Q827" s="27"/>
      <c r="R827" s="27"/>
      <c r="S827" s="27"/>
      <c r="T827" s="27"/>
      <c r="U827" s="27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ht="13.6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27"/>
      <c r="O828" s="27"/>
      <c r="P828" s="27"/>
      <c r="Q828" s="27"/>
      <c r="R828" s="27"/>
      <c r="S828" s="27"/>
      <c r="T828" s="27"/>
      <c r="U828" s="27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 ht="13.6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27"/>
      <c r="O829" s="27"/>
      <c r="P829" s="27"/>
      <c r="Q829" s="27"/>
      <c r="R829" s="27"/>
      <c r="S829" s="27"/>
      <c r="T829" s="27"/>
      <c r="U829" s="27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ht="13.6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27"/>
      <c r="O830" s="27"/>
      <c r="P830" s="27"/>
      <c r="Q830" s="27"/>
      <c r="R830" s="27"/>
      <c r="S830" s="27"/>
      <c r="T830" s="27"/>
      <c r="U830" s="27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 ht="13.6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27"/>
      <c r="O831" s="27"/>
      <c r="P831" s="27"/>
      <c r="Q831" s="27"/>
      <c r="R831" s="27"/>
      <c r="S831" s="27"/>
      <c r="T831" s="27"/>
      <c r="U831" s="27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ht="13.6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27"/>
      <c r="O832" s="27"/>
      <c r="P832" s="27"/>
      <c r="Q832" s="27"/>
      <c r="R832" s="27"/>
      <c r="S832" s="27"/>
      <c r="T832" s="27"/>
      <c r="U832" s="27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 ht="13.6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27"/>
      <c r="O833" s="27"/>
      <c r="P833" s="27"/>
      <c r="Q833" s="27"/>
      <c r="R833" s="27"/>
      <c r="S833" s="27"/>
      <c r="T833" s="27"/>
      <c r="U833" s="27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ht="13.6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27"/>
      <c r="O834" s="27"/>
      <c r="P834" s="27"/>
      <c r="Q834" s="27"/>
      <c r="R834" s="27"/>
      <c r="S834" s="27"/>
      <c r="T834" s="27"/>
      <c r="U834" s="27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 ht="13.6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27"/>
      <c r="O835" s="27"/>
      <c r="P835" s="27"/>
      <c r="Q835" s="27"/>
      <c r="R835" s="27"/>
      <c r="S835" s="27"/>
      <c r="T835" s="27"/>
      <c r="U835" s="27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ht="13.6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27"/>
      <c r="O836" s="27"/>
      <c r="P836" s="27"/>
      <c r="Q836" s="27"/>
      <c r="R836" s="27"/>
      <c r="S836" s="27"/>
      <c r="T836" s="27"/>
      <c r="U836" s="27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 ht="13.6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27"/>
      <c r="O837" s="27"/>
      <c r="P837" s="27"/>
      <c r="Q837" s="27"/>
      <c r="R837" s="27"/>
      <c r="S837" s="27"/>
      <c r="T837" s="27"/>
      <c r="U837" s="27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ht="13.6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27"/>
      <c r="O838" s="27"/>
      <c r="P838" s="27"/>
      <c r="Q838" s="27"/>
      <c r="R838" s="27"/>
      <c r="S838" s="27"/>
      <c r="T838" s="27"/>
      <c r="U838" s="27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 ht="13.6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27"/>
      <c r="O839" s="27"/>
      <c r="P839" s="27"/>
      <c r="Q839" s="27"/>
      <c r="R839" s="27"/>
      <c r="S839" s="27"/>
      <c r="T839" s="27"/>
      <c r="U839" s="27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ht="13.6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27"/>
      <c r="O840" s="27"/>
      <c r="P840" s="27"/>
      <c r="Q840" s="27"/>
      <c r="R840" s="27"/>
      <c r="S840" s="27"/>
      <c r="T840" s="27"/>
      <c r="U840" s="27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 ht="13.6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27"/>
      <c r="O841" s="27"/>
      <c r="P841" s="27"/>
      <c r="Q841" s="27"/>
      <c r="R841" s="27"/>
      <c r="S841" s="27"/>
      <c r="T841" s="27"/>
      <c r="U841" s="27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ht="13.6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27"/>
      <c r="O842" s="27"/>
      <c r="P842" s="27"/>
      <c r="Q842" s="27"/>
      <c r="R842" s="27"/>
      <c r="S842" s="27"/>
      <c r="T842" s="27"/>
      <c r="U842" s="27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 ht="13.6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27"/>
      <c r="O843" s="27"/>
      <c r="P843" s="27"/>
      <c r="Q843" s="27"/>
      <c r="R843" s="27"/>
      <c r="S843" s="27"/>
      <c r="T843" s="27"/>
      <c r="U843" s="27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ht="13.6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27"/>
      <c r="O844" s="27"/>
      <c r="P844" s="27"/>
      <c r="Q844" s="27"/>
      <c r="R844" s="27"/>
      <c r="S844" s="27"/>
      <c r="T844" s="27"/>
      <c r="U844" s="27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 ht="13.6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27"/>
      <c r="O845" s="27"/>
      <c r="P845" s="27"/>
      <c r="Q845" s="27"/>
      <c r="R845" s="27"/>
      <c r="S845" s="27"/>
      <c r="T845" s="27"/>
      <c r="U845" s="27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ht="13.6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27"/>
      <c r="O846" s="27"/>
      <c r="P846" s="27"/>
      <c r="Q846" s="27"/>
      <c r="R846" s="27"/>
      <c r="S846" s="27"/>
      <c r="T846" s="27"/>
      <c r="U846" s="27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 ht="13.6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27"/>
      <c r="O847" s="27"/>
      <c r="P847" s="27"/>
      <c r="Q847" s="27"/>
      <c r="R847" s="27"/>
      <c r="S847" s="27"/>
      <c r="T847" s="27"/>
      <c r="U847" s="27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ht="13.6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27"/>
      <c r="O848" s="27"/>
      <c r="P848" s="27"/>
      <c r="Q848" s="27"/>
      <c r="R848" s="27"/>
      <c r="S848" s="27"/>
      <c r="T848" s="27"/>
      <c r="U848" s="27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 ht="13.6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27"/>
      <c r="O849" s="27"/>
      <c r="P849" s="27"/>
      <c r="Q849" s="27"/>
      <c r="R849" s="27"/>
      <c r="S849" s="27"/>
      <c r="T849" s="27"/>
      <c r="U849" s="27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 ht="13.6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27"/>
      <c r="O850" s="27"/>
      <c r="P850" s="27"/>
      <c r="Q850" s="27"/>
      <c r="R850" s="27"/>
      <c r="S850" s="27"/>
      <c r="T850" s="27"/>
      <c r="U850" s="27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 ht="13.6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27"/>
      <c r="O851" s="27"/>
      <c r="P851" s="27"/>
      <c r="Q851" s="27"/>
      <c r="R851" s="27"/>
      <c r="S851" s="27"/>
      <c r="T851" s="27"/>
      <c r="U851" s="27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 ht="13.6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27"/>
      <c r="O852" s="27"/>
      <c r="P852" s="27"/>
      <c r="Q852" s="27"/>
      <c r="R852" s="27"/>
      <c r="S852" s="27"/>
      <c r="T852" s="27"/>
      <c r="U852" s="27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 ht="13.6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27"/>
      <c r="O853" s="27"/>
      <c r="P853" s="27"/>
      <c r="Q853" s="27"/>
      <c r="R853" s="27"/>
      <c r="S853" s="27"/>
      <c r="T853" s="27"/>
      <c r="U853" s="27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 ht="13.6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27"/>
      <c r="O854" s="27"/>
      <c r="P854" s="27"/>
      <c r="Q854" s="27"/>
      <c r="R854" s="27"/>
      <c r="S854" s="27"/>
      <c r="T854" s="27"/>
      <c r="U854" s="27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 ht="13.6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27"/>
      <c r="O855" s="27"/>
      <c r="P855" s="27"/>
      <c r="Q855" s="27"/>
      <c r="R855" s="27"/>
      <c r="S855" s="27"/>
      <c r="T855" s="27"/>
      <c r="U855" s="27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 ht="13.6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27"/>
      <c r="O856" s="27"/>
      <c r="P856" s="27"/>
      <c r="Q856" s="27"/>
      <c r="R856" s="27"/>
      <c r="S856" s="27"/>
      <c r="T856" s="27"/>
      <c r="U856" s="27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 ht="13.6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27"/>
      <c r="O857" s="27"/>
      <c r="P857" s="27"/>
      <c r="Q857" s="27"/>
      <c r="R857" s="27"/>
      <c r="S857" s="27"/>
      <c r="T857" s="27"/>
      <c r="U857" s="27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 ht="13.6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27"/>
      <c r="O858" s="27"/>
      <c r="P858" s="27"/>
      <c r="Q858" s="27"/>
      <c r="R858" s="27"/>
      <c r="S858" s="27"/>
      <c r="T858" s="27"/>
      <c r="U858" s="27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 ht="13.6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27"/>
      <c r="O859" s="27"/>
      <c r="P859" s="27"/>
      <c r="Q859" s="27"/>
      <c r="R859" s="27"/>
      <c r="S859" s="27"/>
      <c r="T859" s="27"/>
      <c r="U859" s="27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 ht="13.6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27"/>
      <c r="O860" s="27"/>
      <c r="P860" s="27"/>
      <c r="Q860" s="27"/>
      <c r="R860" s="27"/>
      <c r="S860" s="27"/>
      <c r="T860" s="27"/>
      <c r="U860" s="27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 ht="13.6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27"/>
      <c r="O861" s="27"/>
      <c r="P861" s="27"/>
      <c r="Q861" s="27"/>
      <c r="R861" s="27"/>
      <c r="S861" s="27"/>
      <c r="T861" s="27"/>
      <c r="U861" s="27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 ht="13.6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27"/>
      <c r="O862" s="27"/>
      <c r="P862" s="27"/>
      <c r="Q862" s="27"/>
      <c r="R862" s="27"/>
      <c r="S862" s="27"/>
      <c r="T862" s="27"/>
      <c r="U862" s="27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 ht="13.6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27"/>
      <c r="O863" s="27"/>
      <c r="P863" s="27"/>
      <c r="Q863" s="27"/>
      <c r="R863" s="27"/>
      <c r="S863" s="27"/>
      <c r="T863" s="27"/>
      <c r="U863" s="27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 ht="13.6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27"/>
      <c r="O864" s="27"/>
      <c r="P864" s="27"/>
      <c r="Q864" s="27"/>
      <c r="R864" s="27"/>
      <c r="S864" s="27"/>
      <c r="T864" s="27"/>
      <c r="U864" s="27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 ht="13.6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27"/>
      <c r="O865" s="27"/>
      <c r="P865" s="27"/>
      <c r="Q865" s="27"/>
      <c r="R865" s="27"/>
      <c r="S865" s="27"/>
      <c r="T865" s="27"/>
      <c r="U865" s="27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 ht="13.6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27"/>
      <c r="O866" s="27"/>
      <c r="P866" s="27"/>
      <c r="Q866" s="27"/>
      <c r="R866" s="27"/>
      <c r="S866" s="27"/>
      <c r="T866" s="27"/>
      <c r="U866" s="27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 ht="13.6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27"/>
      <c r="O867" s="27"/>
      <c r="P867" s="27"/>
      <c r="Q867" s="27"/>
      <c r="R867" s="27"/>
      <c r="S867" s="27"/>
      <c r="T867" s="27"/>
      <c r="U867" s="27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 ht="13.6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27"/>
      <c r="O868" s="27"/>
      <c r="P868" s="27"/>
      <c r="Q868" s="27"/>
      <c r="R868" s="27"/>
      <c r="S868" s="27"/>
      <c r="T868" s="27"/>
      <c r="U868" s="27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 ht="13.6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27"/>
      <c r="O869" s="27"/>
      <c r="P869" s="27"/>
      <c r="Q869" s="27"/>
      <c r="R869" s="27"/>
      <c r="S869" s="27"/>
      <c r="T869" s="27"/>
      <c r="U869" s="27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 ht="13.6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27"/>
      <c r="O870" s="27"/>
      <c r="P870" s="27"/>
      <c r="Q870" s="27"/>
      <c r="R870" s="27"/>
      <c r="S870" s="27"/>
      <c r="T870" s="27"/>
      <c r="U870" s="27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 ht="13.6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27"/>
      <c r="O871" s="27"/>
      <c r="P871" s="27"/>
      <c r="Q871" s="27"/>
      <c r="R871" s="27"/>
      <c r="S871" s="27"/>
      <c r="T871" s="27"/>
      <c r="U871" s="27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 ht="13.6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27"/>
      <c r="O872" s="27"/>
      <c r="P872" s="27"/>
      <c r="Q872" s="27"/>
      <c r="R872" s="27"/>
      <c r="S872" s="27"/>
      <c r="T872" s="27"/>
      <c r="U872" s="27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 ht="13.6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27"/>
      <c r="O873" s="27"/>
      <c r="P873" s="27"/>
      <c r="Q873" s="27"/>
      <c r="R873" s="27"/>
      <c r="S873" s="27"/>
      <c r="T873" s="27"/>
      <c r="U873" s="27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 ht="13.6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27"/>
      <c r="O874" s="27"/>
      <c r="P874" s="27"/>
      <c r="Q874" s="27"/>
      <c r="R874" s="27"/>
      <c r="S874" s="27"/>
      <c r="T874" s="27"/>
      <c r="U874" s="27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 ht="13.6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27"/>
      <c r="O875" s="27"/>
      <c r="P875" s="27"/>
      <c r="Q875" s="27"/>
      <c r="R875" s="27"/>
      <c r="S875" s="27"/>
      <c r="T875" s="27"/>
      <c r="U875" s="27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 ht="13.6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27"/>
      <c r="O876" s="27"/>
      <c r="P876" s="27"/>
      <c r="Q876" s="27"/>
      <c r="R876" s="27"/>
      <c r="S876" s="27"/>
      <c r="T876" s="27"/>
      <c r="U876" s="27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 ht="13.6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27"/>
      <c r="O877" s="27"/>
      <c r="P877" s="27"/>
      <c r="Q877" s="27"/>
      <c r="R877" s="27"/>
      <c r="S877" s="27"/>
      <c r="T877" s="27"/>
      <c r="U877" s="27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 ht="13.6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27"/>
      <c r="O878" s="27"/>
      <c r="P878" s="27"/>
      <c r="Q878" s="27"/>
      <c r="R878" s="27"/>
      <c r="S878" s="27"/>
      <c r="T878" s="27"/>
      <c r="U878" s="27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 ht="13.6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27"/>
      <c r="O879" s="27"/>
      <c r="P879" s="27"/>
      <c r="Q879" s="27"/>
      <c r="R879" s="27"/>
      <c r="S879" s="27"/>
      <c r="T879" s="27"/>
      <c r="U879" s="27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 ht="13.6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27"/>
      <c r="O880" s="27"/>
      <c r="P880" s="27"/>
      <c r="Q880" s="27"/>
      <c r="R880" s="27"/>
      <c r="S880" s="27"/>
      <c r="T880" s="27"/>
      <c r="U880" s="27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 ht="13.6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27"/>
      <c r="O881" s="27"/>
      <c r="P881" s="27"/>
      <c r="Q881" s="27"/>
      <c r="R881" s="27"/>
      <c r="S881" s="27"/>
      <c r="T881" s="27"/>
      <c r="U881" s="27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 ht="13.6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27"/>
      <c r="O882" s="27"/>
      <c r="P882" s="27"/>
      <c r="Q882" s="27"/>
      <c r="R882" s="27"/>
      <c r="S882" s="27"/>
      <c r="T882" s="27"/>
      <c r="U882" s="27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 ht="13.6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27"/>
      <c r="O883" s="27"/>
      <c r="P883" s="27"/>
      <c r="Q883" s="27"/>
      <c r="R883" s="27"/>
      <c r="S883" s="27"/>
      <c r="T883" s="27"/>
      <c r="U883" s="27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 ht="13.6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27"/>
      <c r="O884" s="27"/>
      <c r="P884" s="27"/>
      <c r="Q884" s="27"/>
      <c r="R884" s="27"/>
      <c r="S884" s="27"/>
      <c r="T884" s="27"/>
      <c r="U884" s="27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 ht="13.6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27"/>
      <c r="O885" s="27"/>
      <c r="P885" s="27"/>
      <c r="Q885" s="27"/>
      <c r="R885" s="27"/>
      <c r="S885" s="27"/>
      <c r="T885" s="27"/>
      <c r="U885" s="27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 ht="13.6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27"/>
      <c r="O886" s="27"/>
      <c r="P886" s="27"/>
      <c r="Q886" s="27"/>
      <c r="R886" s="27"/>
      <c r="S886" s="27"/>
      <c r="T886" s="27"/>
      <c r="U886" s="27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 ht="13.6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27"/>
      <c r="O887" s="27"/>
      <c r="P887" s="27"/>
      <c r="Q887" s="27"/>
      <c r="R887" s="27"/>
      <c r="S887" s="27"/>
      <c r="T887" s="27"/>
      <c r="U887" s="27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 ht="13.6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27"/>
      <c r="O888" s="27"/>
      <c r="P888" s="27"/>
      <c r="Q888" s="27"/>
      <c r="R888" s="27"/>
      <c r="S888" s="27"/>
      <c r="T888" s="27"/>
      <c r="U888" s="27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 ht="13.6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27"/>
      <c r="O889" s="27"/>
      <c r="P889" s="27"/>
      <c r="Q889" s="27"/>
      <c r="R889" s="27"/>
      <c r="S889" s="27"/>
      <c r="T889" s="27"/>
      <c r="U889" s="27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 ht="13.6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27"/>
      <c r="O890" s="27"/>
      <c r="P890" s="27"/>
      <c r="Q890" s="27"/>
      <c r="R890" s="27"/>
      <c r="S890" s="27"/>
      <c r="T890" s="27"/>
      <c r="U890" s="27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 ht="13.6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27"/>
      <c r="O891" s="27"/>
      <c r="P891" s="27"/>
      <c r="Q891" s="27"/>
      <c r="R891" s="27"/>
      <c r="S891" s="27"/>
      <c r="T891" s="27"/>
      <c r="U891" s="27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 ht="13.6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27"/>
      <c r="O892" s="27"/>
      <c r="P892" s="27"/>
      <c r="Q892" s="27"/>
      <c r="R892" s="27"/>
      <c r="S892" s="27"/>
      <c r="T892" s="27"/>
      <c r="U892" s="27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 ht="13.6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27"/>
      <c r="O893" s="27"/>
      <c r="P893" s="27"/>
      <c r="Q893" s="27"/>
      <c r="R893" s="27"/>
      <c r="S893" s="27"/>
      <c r="T893" s="27"/>
      <c r="U893" s="27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 ht="13.6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27"/>
      <c r="O894" s="27"/>
      <c r="P894" s="27"/>
      <c r="Q894" s="27"/>
      <c r="R894" s="27"/>
      <c r="S894" s="27"/>
      <c r="T894" s="27"/>
      <c r="U894" s="27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 ht="13.6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27"/>
      <c r="O895" s="27"/>
      <c r="P895" s="27"/>
      <c r="Q895" s="27"/>
      <c r="R895" s="27"/>
      <c r="S895" s="27"/>
      <c r="T895" s="27"/>
      <c r="U895" s="27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 ht="13.6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27"/>
      <c r="O896" s="27"/>
      <c r="P896" s="27"/>
      <c r="Q896" s="27"/>
      <c r="R896" s="27"/>
      <c r="S896" s="27"/>
      <c r="T896" s="27"/>
      <c r="U896" s="27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 ht="13.6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27"/>
      <c r="O897" s="27"/>
      <c r="P897" s="27"/>
      <c r="Q897" s="27"/>
      <c r="R897" s="27"/>
      <c r="S897" s="27"/>
      <c r="T897" s="27"/>
      <c r="U897" s="27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 ht="13.6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27"/>
      <c r="O898" s="27"/>
      <c r="P898" s="27"/>
      <c r="Q898" s="27"/>
      <c r="R898" s="27"/>
      <c r="S898" s="27"/>
      <c r="T898" s="27"/>
      <c r="U898" s="27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 ht="13.6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27"/>
      <c r="O899" s="27"/>
      <c r="P899" s="27"/>
      <c r="Q899" s="27"/>
      <c r="R899" s="27"/>
      <c r="S899" s="27"/>
      <c r="T899" s="27"/>
      <c r="U899" s="27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 ht="13.6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27"/>
      <c r="O900" s="27"/>
      <c r="P900" s="27"/>
      <c r="Q900" s="27"/>
      <c r="R900" s="27"/>
      <c r="S900" s="27"/>
      <c r="T900" s="27"/>
      <c r="U900" s="27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 ht="13.6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27"/>
      <c r="O901" s="27"/>
      <c r="P901" s="27"/>
      <c r="Q901" s="27"/>
      <c r="R901" s="27"/>
      <c r="S901" s="27"/>
      <c r="T901" s="27"/>
      <c r="U901" s="27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 ht="13.6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27"/>
      <c r="O902" s="27"/>
      <c r="P902" s="27"/>
      <c r="Q902" s="27"/>
      <c r="R902" s="27"/>
      <c r="S902" s="27"/>
      <c r="T902" s="27"/>
      <c r="U902" s="27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 ht="13.6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27"/>
      <c r="O903" s="27"/>
      <c r="P903" s="27"/>
      <c r="Q903" s="27"/>
      <c r="R903" s="27"/>
      <c r="S903" s="27"/>
      <c r="T903" s="27"/>
      <c r="U903" s="27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 ht="13.6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27"/>
      <c r="O904" s="27"/>
      <c r="P904" s="27"/>
      <c r="Q904" s="27"/>
      <c r="R904" s="27"/>
      <c r="S904" s="27"/>
      <c r="T904" s="27"/>
      <c r="U904" s="27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 ht="13.6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27"/>
      <c r="O905" s="27"/>
      <c r="P905" s="27"/>
      <c r="Q905" s="27"/>
      <c r="R905" s="27"/>
      <c r="S905" s="27"/>
      <c r="T905" s="27"/>
      <c r="U905" s="27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 ht="13.6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27"/>
      <c r="O906" s="27"/>
      <c r="P906" s="27"/>
      <c r="Q906" s="27"/>
      <c r="R906" s="27"/>
      <c r="S906" s="27"/>
      <c r="T906" s="27"/>
      <c r="U906" s="27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 ht="13.6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27"/>
      <c r="O907" s="27"/>
      <c r="P907" s="27"/>
      <c r="Q907" s="27"/>
      <c r="R907" s="27"/>
      <c r="S907" s="27"/>
      <c r="T907" s="27"/>
      <c r="U907" s="27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 ht="13.6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27"/>
      <c r="O908" s="27"/>
      <c r="P908" s="27"/>
      <c r="Q908" s="27"/>
      <c r="R908" s="27"/>
      <c r="S908" s="27"/>
      <c r="T908" s="27"/>
      <c r="U908" s="27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 ht="13.6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27"/>
      <c r="O909" s="27"/>
      <c r="P909" s="27"/>
      <c r="Q909" s="27"/>
      <c r="R909" s="27"/>
      <c r="S909" s="27"/>
      <c r="T909" s="27"/>
      <c r="U909" s="27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 ht="13.6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27"/>
      <c r="O910" s="27"/>
      <c r="P910" s="27"/>
      <c r="Q910" s="27"/>
      <c r="R910" s="27"/>
      <c r="S910" s="27"/>
      <c r="T910" s="27"/>
      <c r="U910" s="27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 ht="13.6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27"/>
      <c r="O911" s="27"/>
      <c r="P911" s="27"/>
      <c r="Q911" s="27"/>
      <c r="R911" s="27"/>
      <c r="S911" s="27"/>
      <c r="T911" s="27"/>
      <c r="U911" s="27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 ht="13.6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27"/>
      <c r="O912" s="27"/>
      <c r="P912" s="27"/>
      <c r="Q912" s="27"/>
      <c r="R912" s="27"/>
      <c r="S912" s="27"/>
      <c r="T912" s="27"/>
      <c r="U912" s="27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 ht="13.6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27"/>
      <c r="O913" s="27"/>
      <c r="P913" s="27"/>
      <c r="Q913" s="27"/>
      <c r="R913" s="27"/>
      <c r="S913" s="27"/>
      <c r="T913" s="27"/>
      <c r="U913" s="27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 ht="13.6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27"/>
      <c r="O914" s="27"/>
      <c r="P914" s="27"/>
      <c r="Q914" s="27"/>
      <c r="R914" s="27"/>
      <c r="S914" s="27"/>
      <c r="T914" s="27"/>
      <c r="U914" s="27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 ht="13.6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27"/>
      <c r="O915" s="27"/>
      <c r="P915" s="27"/>
      <c r="Q915" s="27"/>
      <c r="R915" s="27"/>
      <c r="S915" s="27"/>
      <c r="T915" s="27"/>
      <c r="U915" s="27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 ht="13.6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27"/>
      <c r="O916" s="27"/>
      <c r="P916" s="27"/>
      <c r="Q916" s="27"/>
      <c r="R916" s="27"/>
      <c r="S916" s="27"/>
      <c r="T916" s="27"/>
      <c r="U916" s="27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 ht="13.6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27"/>
      <c r="O917" s="27"/>
      <c r="P917" s="27"/>
      <c r="Q917" s="27"/>
      <c r="R917" s="27"/>
      <c r="S917" s="27"/>
      <c r="T917" s="27"/>
      <c r="U917" s="27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 ht="13.6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27"/>
      <c r="O918" s="27"/>
      <c r="P918" s="27"/>
      <c r="Q918" s="27"/>
      <c r="R918" s="27"/>
      <c r="S918" s="27"/>
      <c r="T918" s="27"/>
      <c r="U918" s="27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 ht="13.6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27"/>
      <c r="O919" s="27"/>
      <c r="P919" s="27"/>
      <c r="Q919" s="27"/>
      <c r="R919" s="27"/>
      <c r="S919" s="27"/>
      <c r="T919" s="27"/>
      <c r="U919" s="27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 ht="13.6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27"/>
      <c r="O920" s="27"/>
      <c r="P920" s="27"/>
      <c r="Q920" s="27"/>
      <c r="R920" s="27"/>
      <c r="S920" s="27"/>
      <c r="T920" s="27"/>
      <c r="U920" s="27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 ht="13.6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27"/>
      <c r="O921" s="27"/>
      <c r="P921" s="27"/>
      <c r="Q921" s="27"/>
      <c r="R921" s="27"/>
      <c r="S921" s="27"/>
      <c r="T921" s="27"/>
      <c r="U921" s="27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 ht="13.6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27"/>
      <c r="O922" s="27"/>
      <c r="P922" s="27"/>
      <c r="Q922" s="27"/>
      <c r="R922" s="27"/>
      <c r="S922" s="27"/>
      <c r="T922" s="27"/>
      <c r="U922" s="27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 ht="13.6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27"/>
      <c r="O923" s="27"/>
      <c r="P923" s="27"/>
      <c r="Q923" s="27"/>
      <c r="R923" s="27"/>
      <c r="S923" s="27"/>
      <c r="T923" s="27"/>
      <c r="U923" s="27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 ht="13.6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27"/>
      <c r="O924" s="27"/>
      <c r="P924" s="27"/>
      <c r="Q924" s="27"/>
      <c r="R924" s="27"/>
      <c r="S924" s="27"/>
      <c r="T924" s="27"/>
      <c r="U924" s="27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 ht="13.6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27"/>
      <c r="O925" s="27"/>
      <c r="P925" s="27"/>
      <c r="Q925" s="27"/>
      <c r="R925" s="27"/>
      <c r="S925" s="27"/>
      <c r="T925" s="27"/>
      <c r="U925" s="27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 ht="13.6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27"/>
      <c r="O926" s="27"/>
      <c r="P926" s="27"/>
      <c r="Q926" s="27"/>
      <c r="R926" s="27"/>
      <c r="S926" s="27"/>
      <c r="T926" s="27"/>
      <c r="U926" s="27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 ht="13.6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27"/>
      <c r="O927" s="27"/>
      <c r="P927" s="27"/>
      <c r="Q927" s="27"/>
      <c r="R927" s="27"/>
      <c r="S927" s="27"/>
      <c r="T927" s="27"/>
      <c r="U927" s="27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 ht="13.6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27"/>
      <c r="O928" s="27"/>
      <c r="P928" s="27"/>
      <c r="Q928" s="27"/>
      <c r="R928" s="27"/>
      <c r="S928" s="27"/>
      <c r="T928" s="27"/>
      <c r="U928" s="27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 ht="13.6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27"/>
      <c r="O929" s="27"/>
      <c r="P929" s="27"/>
      <c r="Q929" s="27"/>
      <c r="R929" s="27"/>
      <c r="S929" s="27"/>
      <c r="T929" s="27"/>
      <c r="U929" s="27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 ht="13.6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27"/>
      <c r="O930" s="27"/>
      <c r="P930" s="27"/>
      <c r="Q930" s="27"/>
      <c r="R930" s="27"/>
      <c r="S930" s="27"/>
      <c r="T930" s="27"/>
      <c r="U930" s="27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 ht="13.6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27"/>
      <c r="O931" s="27"/>
      <c r="P931" s="27"/>
      <c r="Q931" s="27"/>
      <c r="R931" s="27"/>
      <c r="S931" s="27"/>
      <c r="T931" s="27"/>
      <c r="U931" s="27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 ht="13.6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27"/>
      <c r="O932" s="27"/>
      <c r="P932" s="27"/>
      <c r="Q932" s="27"/>
      <c r="R932" s="27"/>
      <c r="S932" s="27"/>
      <c r="T932" s="27"/>
      <c r="U932" s="27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 ht="13.6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27"/>
      <c r="O933" s="27"/>
      <c r="P933" s="27"/>
      <c r="Q933" s="27"/>
      <c r="R933" s="27"/>
      <c r="S933" s="27"/>
      <c r="T933" s="27"/>
      <c r="U933" s="27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 ht="13.6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27"/>
      <c r="O934" s="27"/>
      <c r="P934" s="27"/>
      <c r="Q934" s="27"/>
      <c r="R934" s="27"/>
      <c r="S934" s="27"/>
      <c r="T934" s="27"/>
      <c r="U934" s="27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 ht="13.6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27"/>
      <c r="O935" s="27"/>
      <c r="P935" s="27"/>
      <c r="Q935" s="27"/>
      <c r="R935" s="27"/>
      <c r="S935" s="27"/>
      <c r="T935" s="27"/>
      <c r="U935" s="27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 ht="13.6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27"/>
      <c r="O936" s="27"/>
      <c r="P936" s="27"/>
      <c r="Q936" s="27"/>
      <c r="R936" s="27"/>
      <c r="S936" s="27"/>
      <c r="T936" s="27"/>
      <c r="U936" s="27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 ht="13.6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27"/>
      <c r="O937" s="27"/>
      <c r="P937" s="27"/>
      <c r="Q937" s="27"/>
      <c r="R937" s="27"/>
      <c r="S937" s="27"/>
      <c r="T937" s="27"/>
      <c r="U937" s="27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 ht="13.6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27"/>
      <c r="O938" s="27"/>
      <c r="P938" s="27"/>
      <c r="Q938" s="27"/>
      <c r="R938" s="27"/>
      <c r="S938" s="27"/>
      <c r="T938" s="27"/>
      <c r="U938" s="27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 ht="13.6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27"/>
      <c r="O939" s="27"/>
      <c r="P939" s="27"/>
      <c r="Q939" s="27"/>
      <c r="R939" s="27"/>
      <c r="S939" s="27"/>
      <c r="T939" s="27"/>
      <c r="U939" s="27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 ht="13.6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27"/>
      <c r="O940" s="27"/>
      <c r="P940" s="27"/>
      <c r="Q940" s="27"/>
      <c r="R940" s="27"/>
      <c r="S940" s="27"/>
      <c r="T940" s="27"/>
      <c r="U940" s="27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 ht="13.6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27"/>
      <c r="O941" s="27"/>
      <c r="P941" s="27"/>
      <c r="Q941" s="27"/>
      <c r="R941" s="27"/>
      <c r="S941" s="27"/>
      <c r="T941" s="27"/>
      <c r="U941" s="27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 ht="13.6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27"/>
      <c r="O942" s="27"/>
      <c r="P942" s="27"/>
      <c r="Q942" s="27"/>
      <c r="R942" s="27"/>
      <c r="S942" s="27"/>
      <c r="T942" s="27"/>
      <c r="U942" s="27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 ht="13.6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27"/>
      <c r="O943" s="27"/>
      <c r="P943" s="27"/>
      <c r="Q943" s="27"/>
      <c r="R943" s="27"/>
      <c r="S943" s="27"/>
      <c r="T943" s="27"/>
      <c r="U943" s="27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 ht="13.6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27"/>
      <c r="O944" s="27"/>
      <c r="P944" s="27"/>
      <c r="Q944" s="27"/>
      <c r="R944" s="27"/>
      <c r="S944" s="27"/>
      <c r="T944" s="27"/>
      <c r="U944" s="27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ht="13.6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27"/>
      <c r="O945" s="27"/>
      <c r="P945" s="27"/>
      <c r="Q945" s="27"/>
      <c r="R945" s="27"/>
      <c r="S945" s="27"/>
      <c r="T945" s="27"/>
      <c r="U945" s="27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 ht="13.6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27"/>
      <c r="O946" s="27"/>
      <c r="P946" s="27"/>
      <c r="Q946" s="27"/>
      <c r="R946" s="27"/>
      <c r="S946" s="27"/>
      <c r="T946" s="27"/>
      <c r="U946" s="27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 ht="13.6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27"/>
      <c r="O947" s="27"/>
      <c r="P947" s="27"/>
      <c r="Q947" s="27"/>
      <c r="R947" s="27"/>
      <c r="S947" s="27"/>
      <c r="T947" s="27"/>
      <c r="U947" s="27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 ht="13.6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27"/>
      <c r="O948" s="27"/>
      <c r="P948" s="27"/>
      <c r="Q948" s="27"/>
      <c r="R948" s="27"/>
      <c r="S948" s="27"/>
      <c r="T948" s="27"/>
      <c r="U948" s="27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 ht="13.6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27"/>
      <c r="O949" s="27"/>
      <c r="P949" s="27"/>
      <c r="Q949" s="27"/>
      <c r="R949" s="27"/>
      <c r="S949" s="27"/>
      <c r="T949" s="27"/>
      <c r="U949" s="27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 ht="13.6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27"/>
      <c r="O950" s="27"/>
      <c r="P950" s="27"/>
      <c r="Q950" s="27"/>
      <c r="R950" s="27"/>
      <c r="S950" s="27"/>
      <c r="T950" s="27"/>
      <c r="U950" s="27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 ht="13.6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27"/>
      <c r="O951" s="27"/>
      <c r="P951" s="27"/>
      <c r="Q951" s="27"/>
      <c r="R951" s="27"/>
      <c r="S951" s="27"/>
      <c r="T951" s="27"/>
      <c r="U951" s="27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 ht="13.6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27"/>
      <c r="O952" s="27"/>
      <c r="P952" s="27"/>
      <c r="Q952" s="27"/>
      <c r="R952" s="27"/>
      <c r="S952" s="27"/>
      <c r="T952" s="27"/>
      <c r="U952" s="27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 ht="13.6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27"/>
      <c r="O953" s="27"/>
      <c r="P953" s="27"/>
      <c r="Q953" s="27"/>
      <c r="R953" s="27"/>
      <c r="S953" s="27"/>
      <c r="T953" s="27"/>
      <c r="U953" s="27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 ht="13.6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27"/>
      <c r="O954" s="27"/>
      <c r="P954" s="27"/>
      <c r="Q954" s="27"/>
      <c r="R954" s="27"/>
      <c r="S954" s="27"/>
      <c r="T954" s="27"/>
      <c r="U954" s="27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 ht="13.6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27"/>
      <c r="O955" s="27"/>
      <c r="P955" s="27"/>
      <c r="Q955" s="27"/>
      <c r="R955" s="27"/>
      <c r="S955" s="27"/>
      <c r="T955" s="27"/>
      <c r="U955" s="27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 ht="13.6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27"/>
      <c r="O956" s="27"/>
      <c r="P956" s="27"/>
      <c r="Q956" s="27"/>
      <c r="R956" s="27"/>
      <c r="S956" s="27"/>
      <c r="T956" s="27"/>
      <c r="U956" s="27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 ht="13.6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27"/>
      <c r="O957" s="27"/>
      <c r="P957" s="27"/>
      <c r="Q957" s="27"/>
      <c r="R957" s="27"/>
      <c r="S957" s="27"/>
      <c r="T957" s="27"/>
      <c r="U957" s="27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 ht="13.6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27"/>
      <c r="O958" s="27"/>
      <c r="P958" s="27"/>
      <c r="Q958" s="27"/>
      <c r="R958" s="27"/>
      <c r="S958" s="27"/>
      <c r="T958" s="27"/>
      <c r="U958" s="27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 ht="13.6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27"/>
      <c r="O959" s="27"/>
      <c r="P959" s="27"/>
      <c r="Q959" s="27"/>
      <c r="R959" s="27"/>
      <c r="S959" s="27"/>
      <c r="T959" s="27"/>
      <c r="U959" s="27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 ht="13.6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27"/>
      <c r="O960" s="27"/>
      <c r="P960" s="27"/>
      <c r="Q960" s="27"/>
      <c r="R960" s="27"/>
      <c r="S960" s="27"/>
      <c r="T960" s="27"/>
      <c r="U960" s="27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 ht="13.6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27"/>
      <c r="O961" s="27"/>
      <c r="P961" s="27"/>
      <c r="Q961" s="27"/>
      <c r="R961" s="27"/>
      <c r="S961" s="27"/>
      <c r="T961" s="27"/>
      <c r="U961" s="27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 ht="13.6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27"/>
      <c r="O962" s="27"/>
      <c r="P962" s="27"/>
      <c r="Q962" s="27"/>
      <c r="R962" s="27"/>
      <c r="S962" s="27"/>
      <c r="T962" s="27"/>
      <c r="U962" s="27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 ht="13.6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27"/>
      <c r="O963" s="27"/>
      <c r="P963" s="27"/>
      <c r="Q963" s="27"/>
      <c r="R963" s="27"/>
      <c r="S963" s="27"/>
      <c r="T963" s="27"/>
      <c r="U963" s="27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 ht="13.6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27"/>
      <c r="O964" s="27"/>
      <c r="P964" s="27"/>
      <c r="Q964" s="27"/>
      <c r="R964" s="27"/>
      <c r="S964" s="27"/>
      <c r="T964" s="27"/>
      <c r="U964" s="27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 ht="13.6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27"/>
      <c r="O965" s="27"/>
      <c r="P965" s="27"/>
      <c r="Q965" s="27"/>
      <c r="R965" s="27"/>
      <c r="S965" s="27"/>
      <c r="T965" s="27"/>
      <c r="U965" s="27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 ht="13.6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27"/>
      <c r="O966" s="27"/>
      <c r="P966" s="27"/>
      <c r="Q966" s="27"/>
      <c r="R966" s="27"/>
      <c r="S966" s="27"/>
      <c r="T966" s="27"/>
      <c r="U966" s="27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 ht="13.6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27"/>
      <c r="O967" s="27"/>
      <c r="P967" s="27"/>
      <c r="Q967" s="27"/>
      <c r="R967" s="27"/>
      <c r="S967" s="27"/>
      <c r="T967" s="27"/>
      <c r="U967" s="27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 ht="13.6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27"/>
      <c r="O968" s="27"/>
      <c r="P968" s="27"/>
      <c r="Q968" s="27"/>
      <c r="R968" s="27"/>
      <c r="S968" s="27"/>
      <c r="T968" s="27"/>
      <c r="U968" s="27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 ht="13.6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27"/>
      <c r="O969" s="27"/>
      <c r="P969" s="27"/>
      <c r="Q969" s="27"/>
      <c r="R969" s="27"/>
      <c r="S969" s="27"/>
      <c r="T969" s="27"/>
      <c r="U969" s="27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 ht="13.6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27"/>
      <c r="O970" s="27"/>
      <c r="P970" s="27"/>
      <c r="Q970" s="27"/>
      <c r="R970" s="27"/>
      <c r="S970" s="27"/>
      <c r="T970" s="27"/>
      <c r="U970" s="27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 ht="13.6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27"/>
      <c r="O971" s="27"/>
      <c r="P971" s="27"/>
      <c r="Q971" s="27"/>
      <c r="R971" s="27"/>
      <c r="S971" s="27"/>
      <c r="T971" s="27"/>
      <c r="U971" s="27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 ht="13.6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27"/>
      <c r="O972" s="27"/>
      <c r="P972" s="27"/>
      <c r="Q972" s="27"/>
      <c r="R972" s="27"/>
      <c r="S972" s="27"/>
      <c r="T972" s="27"/>
      <c r="U972" s="27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 ht="13.6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27"/>
      <c r="O973" s="27"/>
      <c r="P973" s="27"/>
      <c r="Q973" s="27"/>
      <c r="R973" s="27"/>
      <c r="S973" s="27"/>
      <c r="T973" s="27"/>
      <c r="U973" s="27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 ht="13.6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27"/>
      <c r="O974" s="27"/>
      <c r="P974" s="27"/>
      <c r="Q974" s="27"/>
      <c r="R974" s="27"/>
      <c r="S974" s="27"/>
      <c r="T974" s="27"/>
      <c r="U974" s="27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 ht="13.6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27"/>
      <c r="O975" s="27"/>
      <c r="P975" s="27"/>
      <c r="Q975" s="27"/>
      <c r="R975" s="27"/>
      <c r="S975" s="27"/>
      <c r="T975" s="27"/>
      <c r="U975" s="27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 ht="13.6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27"/>
      <c r="O976" s="27"/>
      <c r="P976" s="27"/>
      <c r="Q976" s="27"/>
      <c r="R976" s="27"/>
      <c r="S976" s="27"/>
      <c r="T976" s="27"/>
      <c r="U976" s="27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 ht="13.6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27"/>
      <c r="O977" s="27"/>
      <c r="P977" s="27"/>
      <c r="Q977" s="27"/>
      <c r="R977" s="27"/>
      <c r="S977" s="27"/>
      <c r="T977" s="27"/>
      <c r="U977" s="27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 ht="13.6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27"/>
      <c r="O978" s="27"/>
      <c r="P978" s="27"/>
      <c r="Q978" s="27"/>
      <c r="R978" s="27"/>
      <c r="S978" s="27"/>
      <c r="T978" s="27"/>
      <c r="U978" s="27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 ht="13.6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27"/>
      <c r="O979" s="27"/>
      <c r="P979" s="27"/>
      <c r="Q979" s="27"/>
      <c r="R979" s="27"/>
      <c r="S979" s="27"/>
      <c r="T979" s="27"/>
      <c r="U979" s="27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 ht="13.6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27"/>
      <c r="O980" s="27"/>
      <c r="P980" s="27"/>
      <c r="Q980" s="27"/>
      <c r="R980" s="27"/>
      <c r="S980" s="27"/>
      <c r="T980" s="27"/>
      <c r="U980" s="27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 ht="13.6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27"/>
      <c r="O981" s="27"/>
      <c r="P981" s="27"/>
      <c r="Q981" s="27"/>
      <c r="R981" s="27"/>
      <c r="S981" s="27"/>
      <c r="T981" s="27"/>
      <c r="U981" s="27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 ht="13.6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27"/>
      <c r="O982" s="27"/>
      <c r="P982" s="27"/>
      <c r="Q982" s="27"/>
      <c r="R982" s="27"/>
      <c r="S982" s="27"/>
      <c r="T982" s="27"/>
      <c r="U982" s="27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 ht="13.6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27"/>
      <c r="O983" s="27"/>
      <c r="P983" s="27"/>
      <c r="Q983" s="27"/>
      <c r="R983" s="27"/>
      <c r="S983" s="27"/>
      <c r="T983" s="27"/>
      <c r="U983" s="27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 ht="13.6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27"/>
      <c r="O984" s="27"/>
      <c r="P984" s="27"/>
      <c r="Q984" s="27"/>
      <c r="R984" s="27"/>
      <c r="S984" s="27"/>
      <c r="T984" s="27"/>
      <c r="U984" s="27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 ht="13.6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27"/>
      <c r="O985" s="27"/>
      <c r="P985" s="27"/>
      <c r="Q985" s="27"/>
      <c r="R985" s="27"/>
      <c r="S985" s="27"/>
      <c r="T985" s="27"/>
      <c r="U985" s="27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 ht="13.6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27"/>
      <c r="O986" s="27"/>
      <c r="P986" s="27"/>
      <c r="Q986" s="27"/>
      <c r="R986" s="27"/>
      <c r="S986" s="27"/>
      <c r="T986" s="27"/>
      <c r="U986" s="27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 ht="13.6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27"/>
      <c r="O987" s="27"/>
      <c r="P987" s="27"/>
      <c r="Q987" s="27"/>
      <c r="R987" s="27"/>
      <c r="S987" s="27"/>
      <c r="T987" s="27"/>
      <c r="U987" s="27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 ht="13.6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27"/>
      <c r="O988" s="27"/>
      <c r="P988" s="27"/>
      <c r="Q988" s="27"/>
      <c r="R988" s="27"/>
      <c r="S988" s="27"/>
      <c r="T988" s="27"/>
      <c r="U988" s="27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 ht="13.6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27"/>
      <c r="O989" s="27"/>
      <c r="P989" s="27"/>
      <c r="Q989" s="27"/>
      <c r="R989" s="27"/>
      <c r="S989" s="27"/>
      <c r="T989" s="27"/>
      <c r="U989" s="27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 ht="13.6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27"/>
      <c r="O990" s="27"/>
      <c r="P990" s="27"/>
      <c r="Q990" s="27"/>
      <c r="R990" s="27"/>
      <c r="S990" s="27"/>
      <c r="T990" s="27"/>
      <c r="U990" s="27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 ht="13.6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27"/>
      <c r="O991" s="27"/>
      <c r="P991" s="27"/>
      <c r="Q991" s="27"/>
      <c r="R991" s="27"/>
      <c r="S991" s="27"/>
      <c r="T991" s="27"/>
      <c r="U991" s="27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  <row r="992" ht="13.6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27"/>
      <c r="O992" s="27"/>
      <c r="P992" s="27"/>
      <c r="Q992" s="27"/>
      <c r="R992" s="27"/>
      <c r="S992" s="27"/>
      <c r="T992" s="27"/>
      <c r="U992" s="27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</row>
    <row r="993" ht="13.6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27"/>
      <c r="O993" s="27"/>
      <c r="P993" s="27"/>
      <c r="Q993" s="27"/>
      <c r="R993" s="27"/>
      <c r="S993" s="27"/>
      <c r="T993" s="27"/>
      <c r="U993" s="27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</row>
    <row r="994" ht="13.6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27"/>
      <c r="O994" s="27"/>
      <c r="P994" s="27"/>
      <c r="Q994" s="27"/>
      <c r="R994" s="27"/>
      <c r="S994" s="27"/>
      <c r="T994" s="27"/>
      <c r="U994" s="27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</row>
    <row r="995" ht="13.6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27"/>
      <c r="O995" s="27"/>
      <c r="P995" s="27"/>
      <c r="Q995" s="27"/>
      <c r="R995" s="27"/>
      <c r="S995" s="27"/>
      <c r="T995" s="27"/>
      <c r="U995" s="27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</row>
    <row r="996" ht="13.6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27"/>
      <c r="O996" s="27"/>
      <c r="P996" s="27"/>
      <c r="Q996" s="27"/>
      <c r="R996" s="27"/>
      <c r="S996" s="27"/>
      <c r="T996" s="27"/>
      <c r="U996" s="27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</row>
    <row r="997" ht="13.6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27"/>
      <c r="O997" s="27"/>
      <c r="P997" s="27"/>
      <c r="Q997" s="27"/>
      <c r="R997" s="27"/>
      <c r="S997" s="27"/>
      <c r="T997" s="27"/>
      <c r="U997" s="27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</row>
    <row r="998" ht="13.6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27"/>
      <c r="O998" s="27"/>
      <c r="P998" s="27"/>
      <c r="Q998" s="27"/>
      <c r="R998" s="27"/>
      <c r="S998" s="27"/>
      <c r="T998" s="27"/>
      <c r="U998" s="27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</row>
    <row r="999" ht="13.6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27"/>
      <c r="O999" s="27"/>
      <c r="P999" s="27"/>
      <c r="Q999" s="27"/>
      <c r="R999" s="27"/>
      <c r="S999" s="27"/>
      <c r="T999" s="27"/>
      <c r="U999" s="27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</row>
    <row r="1000" ht="13.6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27"/>
      <c r="O1000" s="27"/>
      <c r="P1000" s="27"/>
      <c r="Q1000" s="27"/>
      <c r="R1000" s="27"/>
      <c r="S1000" s="27"/>
      <c r="T1000" s="27"/>
      <c r="U1000" s="27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9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92" customWidth="1"/>
    <col min="4" max="4" width="14.3516" style="92" customWidth="1"/>
    <col min="5" max="5" width="25.8516" style="92" customWidth="1"/>
    <col min="6" max="6" width="14.8516" style="92" customWidth="1"/>
    <col min="7" max="7" width="16.1719" style="92" customWidth="1"/>
    <col min="8" max="9" width="16.5" style="92" customWidth="1"/>
    <col min="10" max="16384" width="12.6719" style="92" customWidth="1"/>
  </cols>
  <sheetData>
    <row r="1" ht="13.65" customHeight="1">
      <c r="A1" s="93"/>
      <c r="B1" s="94"/>
      <c r="C1" s="94"/>
      <c r="D1" s="94"/>
      <c r="E1" s="94"/>
      <c r="F1" s="94"/>
      <c r="G1" s="94"/>
      <c r="H1" s="95"/>
      <c r="I1" s="95"/>
    </row>
    <row r="2" ht="13.65" customHeight="1">
      <c r="A2" s="96"/>
      <c r="B2" t="s" s="97">
        <v>76</v>
      </c>
      <c r="C2" t="s" s="98">
        <v>77</v>
      </c>
      <c r="D2" t="s" s="98">
        <v>78</v>
      </c>
      <c r="E2" t="s" s="98">
        <v>79</v>
      </c>
      <c r="F2" t="s" s="98">
        <v>80</v>
      </c>
      <c r="G2" t="s" s="98">
        <v>81</v>
      </c>
      <c r="H2" t="s" s="99">
        <v>82</v>
      </c>
      <c r="I2" t="s" s="100">
        <v>83</v>
      </c>
    </row>
    <row r="3" ht="13.65" customHeight="1">
      <c r="A3" s="101"/>
      <c r="B3" t="s" s="102">
        <v>84</v>
      </c>
      <c r="C3" s="103">
        <v>0.7762811139031141</v>
      </c>
      <c r="D3" s="103">
        <v>0.78021978021978</v>
      </c>
      <c r="E3" t="s" s="104">
        <v>85</v>
      </c>
      <c r="F3" s="105">
        <v>0.759811166017182</v>
      </c>
      <c r="G3" s="106" cm="1">
        <f t="array" ref="G3">(C3-F3)/C3</f>
        <v>0.0212164737631213</v>
      </c>
      <c r="H3" s="105">
        <v>0.760989011</v>
      </c>
      <c r="I3" s="107" cm="1">
        <f t="array" ref="I3">(D3-H3)/D3</f>
        <v>0.0246478873098589</v>
      </c>
    </row>
    <row r="4" ht="13.65" customHeight="1">
      <c r="A4" s="101"/>
      <c r="B4" s="108"/>
      <c r="C4" s="108"/>
      <c r="D4" s="108"/>
      <c r="E4" t="s" s="109">
        <v>86</v>
      </c>
      <c r="F4" s="43">
        <v>0.77503382730626</v>
      </c>
      <c r="G4" s="110" cm="1">
        <f t="array" ref="G4">(C3-F4)/C3</f>
        <v>0.00160674602861673</v>
      </c>
      <c r="H4" s="43">
        <v>0.7747252747</v>
      </c>
      <c r="I4" s="111" cm="1">
        <f t="array" ref="I4">(D3-H4)/D3</f>
        <v>0.00704225355352085</v>
      </c>
    </row>
    <row r="5" ht="13.65" customHeight="1">
      <c r="A5" s="101"/>
      <c r="B5" s="108"/>
      <c r="C5" s="108"/>
      <c r="D5" s="108"/>
      <c r="E5" t="s" s="112">
        <v>87</v>
      </c>
      <c r="F5" s="54">
        <v>0.7772938312</v>
      </c>
      <c r="G5" s="113" cm="1">
        <f t="array" ref="G5">(C3-F5)/C3</f>
        <v>-0.00130457546724806</v>
      </c>
      <c r="H5" s="43">
        <v>0.7774725275</v>
      </c>
      <c r="I5" s="111" cm="1">
        <f t="array" ref="I5">(D3-H5)/D3</f>
        <v>0.00352112672535183</v>
      </c>
    </row>
    <row r="6" ht="13.65" customHeight="1">
      <c r="A6" s="101"/>
      <c r="B6" s="108"/>
      <c r="C6" s="108"/>
      <c r="D6" s="108"/>
      <c r="E6" t="s" s="114">
        <v>88</v>
      </c>
      <c r="F6" s="49">
        <v>0.757520232</v>
      </c>
      <c r="G6" s="115" cm="1">
        <f t="array" ref="G6">(C3-F6)/C3</f>
        <v>0.0241676392315987</v>
      </c>
      <c r="H6" s="49">
        <v>0.7582417581999999</v>
      </c>
      <c r="I6" s="116" cm="1">
        <f t="array" ref="I6">(D3-H6)/D3</f>
        <v>0.0281690141380279</v>
      </c>
    </row>
    <row r="7" ht="13.65" customHeight="1">
      <c r="A7" s="101"/>
      <c r="B7" s="108"/>
      <c r="C7" s="108"/>
      <c r="D7" s="108"/>
      <c r="E7" t="s" s="117">
        <v>89</v>
      </c>
      <c r="F7" s="18">
        <v>0.7516540418</v>
      </c>
      <c r="G7" s="118" cm="1">
        <f t="array" ref="G7">(C3-F7)/C3</f>
        <v>0.0317244251625419</v>
      </c>
      <c r="H7" s="13">
        <v>0.75</v>
      </c>
      <c r="I7" s="119" cm="1">
        <f t="array" ref="I7">(D3-H7)/D3</f>
        <v>0.0387323943661969</v>
      </c>
    </row>
    <row r="8" ht="13.65" customHeight="1">
      <c r="A8" s="101"/>
      <c r="B8" s="108"/>
      <c r="C8" s="108"/>
      <c r="D8" s="108"/>
      <c r="E8" t="s" s="117">
        <v>90</v>
      </c>
      <c r="F8" s="30">
        <v>0.7589200262</v>
      </c>
      <c r="G8" s="120" cm="1">
        <f t="array" ref="G8">(C3-F8)/C3</f>
        <v>0.0223644339559197</v>
      </c>
      <c r="H8" s="26">
        <v>0.7582417581999999</v>
      </c>
      <c r="I8" s="121" cm="1">
        <f t="array" ref="I8">(D3-H8)/D3</f>
        <v>0.0281690141380279</v>
      </c>
    </row>
    <row r="9" ht="13.65" customHeight="1">
      <c r="A9" s="101"/>
      <c r="B9" s="108"/>
      <c r="C9" s="108"/>
      <c r="D9" s="108"/>
      <c r="E9" t="s" s="117">
        <v>91</v>
      </c>
      <c r="F9" s="37">
        <v>0.7425810443</v>
      </c>
      <c r="G9" s="122" cm="1">
        <f t="array" ref="G9">(C3-F9)/C3</f>
        <v>0.0434121982353419</v>
      </c>
      <c r="H9" s="34">
        <v>0.7445054945</v>
      </c>
      <c r="I9" s="123" cm="1">
        <f t="array" ref="I9">(D3-H9)/D3</f>
        <v>0.0457746478943659</v>
      </c>
    </row>
    <row r="10" ht="13.65" customHeight="1">
      <c r="A10" s="101"/>
      <c r="B10" s="108"/>
      <c r="C10" s="108"/>
      <c r="D10" s="108"/>
      <c r="E10" t="s" s="112">
        <v>92</v>
      </c>
      <c r="F10" s="54">
        <v>0.7988444808</v>
      </c>
      <c r="G10" s="113" cm="1">
        <f t="array" ref="G10">(C3-F10)/C3</f>
        <v>-0.0290659742878945</v>
      </c>
      <c r="H10" s="54">
        <v>0.7994505495000001</v>
      </c>
      <c r="I10" s="124" cm="1">
        <f t="array" ref="I10">(D3-H10)/D3</f>
        <v>-0.0246478873873242</v>
      </c>
    </row>
    <row r="11" ht="13.65" customHeight="1">
      <c r="A11" s="101"/>
      <c r="B11" s="125"/>
      <c r="C11" s="125"/>
      <c r="D11" s="125"/>
      <c r="E11" t="s" s="126">
        <v>93</v>
      </c>
      <c r="F11" s="127">
        <v>0.7780492521</v>
      </c>
      <c r="G11" s="128" cm="1">
        <f t="array" ref="G11">(C3-F11)/C3</f>
        <v>-0.00227770348295074</v>
      </c>
      <c r="H11" s="129">
        <v>0.7774725275</v>
      </c>
      <c r="I11" s="130" cm="1">
        <f t="array" ref="I11">(D3-H11)/D3</f>
        <v>0.00352112672535183</v>
      </c>
    </row>
    <row r="12" ht="13.65" customHeight="1">
      <c r="A12" s="101"/>
      <c r="B12" t="s" s="102">
        <v>94</v>
      </c>
      <c r="C12" s="103">
        <v>0.9458242559287851</v>
      </c>
      <c r="D12" s="103">
        <v>0.947089947089947</v>
      </c>
      <c r="E12" t="s" s="104">
        <v>85</v>
      </c>
      <c r="F12" s="105">
        <v>0.925458401068157</v>
      </c>
      <c r="G12" s="106" cm="1">
        <f t="array" ref="G12">(C12-F12)/C12</f>
        <v>0.0215323880022817</v>
      </c>
      <c r="H12" s="105">
        <v>0.9259259259</v>
      </c>
      <c r="I12" s="107" cm="1">
        <f t="array" ref="I12">(D12-H12)/D12</f>
        <v>0.022346368742458</v>
      </c>
    </row>
    <row r="13" ht="13.65" customHeight="1">
      <c r="A13" s="101"/>
      <c r="B13" s="108"/>
      <c r="C13" s="108"/>
      <c r="D13" s="108"/>
      <c r="E13" t="s" s="112">
        <v>86</v>
      </c>
      <c r="F13" s="54">
        <v>0.956912599377297</v>
      </c>
      <c r="G13" s="113" cm="1">
        <f t="array" ref="G13">(C12-F13)/C12</f>
        <v>-0.0117234712252367</v>
      </c>
      <c r="H13" s="54">
        <v>0.9576719577</v>
      </c>
      <c r="I13" s="124" cm="1">
        <f t="array" ref="I13">(D12-H13)/D12</f>
        <v>-0.0111731843871509</v>
      </c>
    </row>
    <row r="14" ht="13.65" customHeight="1">
      <c r="A14" s="101"/>
      <c r="B14" s="108"/>
      <c r="C14" s="108"/>
      <c r="D14" s="108"/>
      <c r="E14" t="s" s="109">
        <v>87</v>
      </c>
      <c r="F14" s="43">
        <v>0.9354028021</v>
      </c>
      <c r="G14" s="110" cm="1">
        <f t="array" ref="G14">(C12-F14)/C12</f>
        <v>0.0110183829220485</v>
      </c>
      <c r="H14" s="43">
        <v>0.9365079365</v>
      </c>
      <c r="I14" s="111" cm="1">
        <f t="array" ref="I14">(D12-H14)/D12</f>
        <v>0.0111731843659217</v>
      </c>
    </row>
    <row r="15" ht="13.65" customHeight="1">
      <c r="A15" s="101"/>
      <c r="B15" s="108"/>
      <c r="C15" s="108"/>
      <c r="D15" s="108"/>
      <c r="E15" t="s" s="112">
        <v>88</v>
      </c>
      <c r="F15" s="54">
        <v>0.956919574994029</v>
      </c>
      <c r="G15" s="113" cm="1">
        <f t="array" ref="G15">(C12-F15)/C12</f>
        <v>-0.0117308463974088</v>
      </c>
      <c r="H15" s="54">
        <v>0.957671957671957</v>
      </c>
      <c r="I15" s="124" cm="1">
        <f t="array" ref="I15">(D12-H15)/D12</f>
        <v>-0.0111731843575413</v>
      </c>
    </row>
    <row r="16" ht="13.65" customHeight="1">
      <c r="A16" s="101"/>
      <c r="B16" s="108"/>
      <c r="C16" s="108"/>
      <c r="D16" s="108"/>
      <c r="E16" t="s" s="112">
        <v>89</v>
      </c>
      <c r="F16" s="54">
        <v>0.946516446516446</v>
      </c>
      <c r="G16" s="113" cm="1">
        <f t="array" ref="G16">(C12-F16)/C12</f>
        <v>-0.000731838481961196</v>
      </c>
      <c r="H16" s="54">
        <v>0.947089947089947</v>
      </c>
      <c r="I16" s="124" cm="1">
        <f t="array" ref="I16">(D12-H16)/D12</f>
        <v>0</v>
      </c>
    </row>
    <row r="17" ht="13.65" customHeight="1">
      <c r="A17" s="101"/>
      <c r="B17" s="108"/>
      <c r="C17" s="108"/>
      <c r="D17" s="108"/>
      <c r="E17" t="s" s="112">
        <v>95</v>
      </c>
      <c r="F17" s="54">
        <v>0.9626030457</v>
      </c>
      <c r="G17" s="113" cm="1">
        <f t="array" ref="G17">(C12-F17)/C12</f>
        <v>-0.0177398598799293</v>
      </c>
      <c r="H17" s="54">
        <v>0.9629629629999999</v>
      </c>
      <c r="I17" s="124" cm="1">
        <f t="array" ref="I17">(D12-H17)/D12</f>
        <v>-0.0167597765754191</v>
      </c>
    </row>
    <row r="18" ht="13.65" customHeight="1">
      <c r="A18" s="101"/>
      <c r="B18" s="125"/>
      <c r="C18" s="125"/>
      <c r="D18" s="125"/>
      <c r="E18" t="s" s="126">
        <v>96</v>
      </c>
      <c r="F18" s="127">
        <v>0.962275009921067</v>
      </c>
      <c r="G18" s="128" cm="1">
        <f t="array" ref="G18">(C12-F18)/C12</f>
        <v>-0.0173930345824422</v>
      </c>
      <c r="H18" s="127">
        <v>0.962962962962962</v>
      </c>
      <c r="I18" s="131" cm="1">
        <f t="array" ref="I18">(D12-H18)/D12</f>
        <v>-0.0167597765363119</v>
      </c>
    </row>
    <row r="19" ht="13.65" customHeight="1">
      <c r="A19" s="101"/>
      <c r="B19" t="s" s="102">
        <v>97</v>
      </c>
      <c r="C19" s="103">
        <v>0.6743800438000001</v>
      </c>
      <c r="D19" s="103">
        <v>0.6785714286</v>
      </c>
      <c r="E19" t="s" s="104">
        <v>85</v>
      </c>
      <c r="F19" t="s" s="132">
        <v>98</v>
      </c>
      <c r="G19" s="106"/>
      <c r="H19" s="133"/>
      <c r="I19" s="107"/>
    </row>
    <row r="20" ht="13.65" customHeight="1">
      <c r="A20" s="101"/>
      <c r="B20" s="108"/>
      <c r="C20" s="108"/>
      <c r="D20" s="108"/>
      <c r="E20" t="s" s="112">
        <v>86</v>
      </c>
      <c r="F20" s="134">
        <v>0.6796441654000001</v>
      </c>
      <c r="G20" s="113" cm="1">
        <f t="array" ref="G20">(C19-F20)/C19</f>
        <v>-0.00780586799445859</v>
      </c>
      <c r="H20" s="54">
        <v>0.6785714286</v>
      </c>
      <c r="I20" s="124" cm="1">
        <f t="array" ref="I20">(D19-H20)/D19</f>
        <v>0</v>
      </c>
    </row>
    <row r="21" ht="13.65" customHeight="1">
      <c r="A21" s="101"/>
      <c r="B21" s="108"/>
      <c r="C21" s="108"/>
      <c r="D21" s="108"/>
      <c r="E21" t="s" s="109">
        <v>87</v>
      </c>
      <c r="F21" s="43">
        <v>0.6700621667</v>
      </c>
      <c r="G21" s="110" cm="1">
        <f t="array" ref="G21">(C19-F21)/C19</f>
        <v>0.00640273557869477</v>
      </c>
      <c r="H21" s="43">
        <v>0.6714285714</v>
      </c>
      <c r="I21" s="111" cm="1">
        <f t="array" ref="I21">(D19-H21)/D19</f>
        <v>0.010526315873241</v>
      </c>
    </row>
    <row r="22" ht="13.65" customHeight="1">
      <c r="A22" s="101"/>
      <c r="B22" s="108"/>
      <c r="C22" s="108"/>
      <c r="D22" s="108"/>
      <c r="E22" t="s" s="112">
        <v>88</v>
      </c>
      <c r="F22" s="54">
        <v>0.6922382412</v>
      </c>
      <c r="G22" s="113" cm="1">
        <f t="array" ref="G22">(C19-F22)/C19</f>
        <v>-0.0264809102288563</v>
      </c>
      <c r="H22" s="54">
        <v>0.6928571429</v>
      </c>
      <c r="I22" s="124" cm="1">
        <f t="array" ref="I22">(D19-H22)/D19</f>
        <v>-0.0210526315991136</v>
      </c>
    </row>
    <row r="23" ht="13.65" customHeight="1">
      <c r="A23" s="101"/>
      <c r="B23" s="108"/>
      <c r="C23" s="108"/>
      <c r="D23" s="108"/>
      <c r="E23" t="s" s="109">
        <v>99</v>
      </c>
      <c r="F23" s="135">
        <v>0.6682684094</v>
      </c>
      <c r="G23" s="110" cm="1">
        <f t="array" ref="G23">(C19-F23)/C19</f>
        <v>0.00906259676007334</v>
      </c>
      <c r="H23" s="43">
        <v>0.6642857143000001</v>
      </c>
      <c r="I23" s="111" cm="1">
        <f t="array" ref="I23">(D19-H23)/D19</f>
        <v>0.0210526315991136</v>
      </c>
    </row>
    <row r="24" ht="13.65" customHeight="1">
      <c r="A24" s="101"/>
      <c r="B24" s="108"/>
      <c r="C24" s="108"/>
      <c r="D24" s="108"/>
      <c r="E24" t="s" s="109">
        <v>100</v>
      </c>
      <c r="F24" s="43">
        <v>0.671219980889503</v>
      </c>
      <c r="G24" s="110" cm="1">
        <f t="array" ref="G24">(C19-F24)/C19</f>
        <v>0.00468587844428293</v>
      </c>
      <c r="H24" s="43">
        <v>0.678571428571428</v>
      </c>
      <c r="I24" s="111" cm="1">
        <f t="array" ref="I24">(D19-H24)/D19</f>
        <v>4.2106105261385e-11</v>
      </c>
    </row>
    <row r="25" ht="13.65" customHeight="1">
      <c r="A25" s="101"/>
      <c r="B25" s="108"/>
      <c r="C25" s="108"/>
      <c r="D25" s="108"/>
      <c r="E25" t="s" s="136">
        <v>90</v>
      </c>
      <c r="F25" s="137">
        <v>0.6377197948</v>
      </c>
      <c r="G25" s="138" cm="1">
        <f t="array" ref="G25">(C19-F25)/C19</f>
        <v>0.054361408432887</v>
      </c>
      <c r="H25" s="137">
        <v>0.6428571429</v>
      </c>
      <c r="I25" s="139" cm="1">
        <f t="array" ref="I25">(D19-H25)/D19</f>
        <v>0.0526315789240997</v>
      </c>
    </row>
    <row r="26" ht="13.65" customHeight="1">
      <c r="A26" s="101"/>
      <c r="B26" s="108"/>
      <c r="C26" s="108"/>
      <c r="D26" s="108"/>
      <c r="E26" t="s" s="112">
        <v>91</v>
      </c>
      <c r="F26" s="54">
        <v>0.690059183131148</v>
      </c>
      <c r="G26" s="113" cm="1">
        <f t="array" ref="G26">(C19-F26)/C19</f>
        <v>-0.0232497083436798</v>
      </c>
      <c r="H26" s="54">
        <v>0.6857142857142851</v>
      </c>
      <c r="I26" s="124" cm="1">
        <f t="array" ref="I26">(D19-H26)/D19</f>
        <v>-0.0105263157469242</v>
      </c>
    </row>
    <row r="27" ht="13.65" customHeight="1">
      <c r="A27" s="101"/>
      <c r="B27" s="108"/>
      <c r="C27" s="108"/>
      <c r="D27" s="108"/>
      <c r="E27" t="s" s="109">
        <v>92</v>
      </c>
      <c r="F27" s="43">
        <v>0.6707338805</v>
      </c>
      <c r="G27" s="110" cm="1">
        <f t="array" ref="G27">(C19-F27)/C19</f>
        <v>0.0054066892007281</v>
      </c>
      <c r="H27" s="43">
        <v>0.6714285714</v>
      </c>
      <c r="I27" s="111" cm="1">
        <f t="array" ref="I27">(D19-H27)/D19</f>
        <v>0.010526315873241</v>
      </c>
    </row>
    <row r="28" ht="13.65" customHeight="1">
      <c r="A28" s="101"/>
      <c r="B28" s="125"/>
      <c r="C28" s="125"/>
      <c r="D28" s="125"/>
      <c r="E28" t="s" s="140">
        <v>93</v>
      </c>
      <c r="F28" s="141">
        <v>0.6382470706</v>
      </c>
      <c r="G28" s="142" cm="1">
        <f t="array" ref="G28">(C19-F28)/C19</f>
        <v>0.0535795409905633</v>
      </c>
      <c r="H28" s="141">
        <v>0.6357142857</v>
      </c>
      <c r="I28" s="143" cm="1">
        <f t="array" ref="I28">(D19-H28)/D19</f>
        <v>0.0631578947973407</v>
      </c>
    </row>
    <row r="29" ht="13.65" customHeight="1">
      <c r="A29" s="101"/>
      <c r="B29" t="s" s="102">
        <v>101</v>
      </c>
      <c r="C29" s="103">
        <v>0.5312396554</v>
      </c>
      <c r="D29" s="103">
        <v>0.5333333333</v>
      </c>
      <c r="E29" t="s" s="144">
        <v>85</v>
      </c>
      <c r="F29" t="s" s="145">
        <v>98</v>
      </c>
      <c r="G29" s="146"/>
      <c r="H29" s="146"/>
      <c r="I29" s="147"/>
    </row>
    <row r="30" ht="13.65" customHeight="1">
      <c r="A30" s="101"/>
      <c r="B30" s="108"/>
      <c r="C30" s="108"/>
      <c r="D30" s="108"/>
      <c r="E30" t="s" s="117">
        <v>86</v>
      </c>
      <c r="F30" t="s" s="148">
        <v>98</v>
      </c>
      <c r="G30" s="33"/>
      <c r="H30" s="33"/>
      <c r="I30" s="149"/>
    </row>
    <row r="31" ht="13.65" customHeight="1">
      <c r="A31" s="101"/>
      <c r="B31" s="108"/>
      <c r="C31" s="108"/>
      <c r="D31" s="108"/>
      <c r="E31" t="s" s="150">
        <v>87</v>
      </c>
      <c r="F31" t="s" s="151">
        <v>98</v>
      </c>
      <c r="G31" s="32"/>
      <c r="H31" s="33"/>
      <c r="I31" s="149"/>
    </row>
    <row r="32" ht="13.65" customHeight="1">
      <c r="A32" s="101"/>
      <c r="B32" s="108"/>
      <c r="C32" s="108"/>
      <c r="D32" s="108"/>
      <c r="E32" t="s" s="152">
        <v>88</v>
      </c>
      <c r="F32" s="13">
        <v>0.4896146424</v>
      </c>
      <c r="G32" s="120" cm="1">
        <f t="array" ref="G32">(C29-F32)</f>
        <v>0.041625013</v>
      </c>
      <c r="H32" s="26">
        <v>0.4916666667</v>
      </c>
      <c r="I32" s="121" cm="1">
        <f t="array" ref="I32">(D29-H32)</f>
        <v>0.0416666666</v>
      </c>
    </row>
    <row r="33" ht="13.65" customHeight="1">
      <c r="A33" s="101"/>
      <c r="B33" s="108"/>
      <c r="C33" s="108"/>
      <c r="D33" s="108"/>
      <c r="E33" t="s" s="117">
        <v>89</v>
      </c>
      <c r="F33" t="s" s="80">
        <v>98</v>
      </c>
      <c r="G33" s="33"/>
      <c r="H33" s="33"/>
      <c r="I33" s="149"/>
    </row>
    <row r="34" ht="13.65" customHeight="1">
      <c r="A34" s="101"/>
      <c r="B34" s="108"/>
      <c r="C34" s="108"/>
      <c r="D34" s="108"/>
      <c r="E34" t="s" s="117">
        <v>95</v>
      </c>
      <c r="F34" s="32"/>
      <c r="G34" s="33"/>
      <c r="H34" s="33"/>
      <c r="I34" s="149"/>
    </row>
    <row r="35" ht="13.65" customHeight="1">
      <c r="A35" s="101"/>
      <c r="B35" s="125"/>
      <c r="C35" s="125"/>
      <c r="D35" s="125"/>
      <c r="E35" t="s" s="153">
        <v>96</v>
      </c>
      <c r="F35" s="154"/>
      <c r="G35" s="95"/>
      <c r="H35" s="95"/>
      <c r="I35" s="155"/>
    </row>
    <row r="36" ht="13.65" customHeight="1">
      <c r="A36" s="33"/>
      <c r="B36" s="156"/>
      <c r="C36" s="156"/>
      <c r="D36" s="156"/>
      <c r="E36" s="156"/>
      <c r="F36" s="156"/>
      <c r="G36" s="156"/>
      <c r="H36" s="156"/>
      <c r="I36" s="156"/>
    </row>
    <row r="37" ht="13.65" customHeight="1">
      <c r="A37" s="70"/>
      <c r="B37" s="157"/>
      <c r="C37" s="157"/>
      <c r="D37" s="157"/>
      <c r="E37" s="157"/>
      <c r="F37" s="157"/>
      <c r="G37" s="157"/>
      <c r="H37" s="157"/>
      <c r="I37" s="158"/>
    </row>
    <row r="38" ht="13.65" customHeight="1">
      <c r="A38" s="70"/>
      <c r="B38" s="159"/>
      <c r="C38" s="159"/>
      <c r="D38" s="159"/>
      <c r="E38" s="44"/>
      <c r="F38" s="44"/>
      <c r="G38" s="160"/>
      <c r="H38" s="44"/>
      <c r="I38" s="161"/>
    </row>
    <row r="39" ht="13.65" customHeight="1">
      <c r="A39" s="70"/>
      <c r="B39" s="159"/>
      <c r="C39" s="159"/>
      <c r="D39" s="159"/>
      <c r="E39" s="44"/>
      <c r="F39" s="44"/>
      <c r="G39" s="160"/>
      <c r="H39" s="44"/>
      <c r="I39" s="161"/>
    </row>
    <row r="40" ht="13.65" customHeight="1">
      <c r="A40" s="70"/>
      <c r="B40" s="159"/>
      <c r="C40" s="159"/>
      <c r="D40" s="159"/>
      <c r="E40" s="44"/>
      <c r="F40" s="44"/>
      <c r="G40" s="160"/>
      <c r="H40" s="44"/>
      <c r="I40" s="161"/>
    </row>
    <row r="41" ht="13.65" customHeight="1">
      <c r="A41" s="70"/>
      <c r="B41" s="159"/>
      <c r="C41" s="159"/>
      <c r="D41" s="159"/>
      <c r="E41" s="44"/>
      <c r="F41" s="44"/>
      <c r="G41" s="160"/>
      <c r="H41" s="44"/>
      <c r="I41" s="161"/>
    </row>
    <row r="42" ht="13.65" customHeight="1">
      <c r="A42" s="70"/>
      <c r="B42" s="159"/>
      <c r="C42" s="159"/>
      <c r="D42" s="159"/>
      <c r="E42" s="44"/>
      <c r="F42" s="44"/>
      <c r="G42" s="160"/>
      <c r="H42" s="44"/>
      <c r="I42" s="161"/>
    </row>
    <row r="43" ht="13.65" customHeight="1">
      <c r="A43" s="70"/>
      <c r="B43" s="159"/>
      <c r="C43" s="159"/>
      <c r="D43" s="159"/>
      <c r="E43" s="44"/>
      <c r="F43" s="44"/>
      <c r="G43" s="160"/>
      <c r="H43" s="44"/>
      <c r="I43" s="161"/>
    </row>
    <row r="44" ht="13.65" customHeight="1">
      <c r="A44" s="70"/>
      <c r="B44" s="159"/>
      <c r="C44" s="159"/>
      <c r="D44" s="159"/>
      <c r="E44" s="44"/>
      <c r="F44" s="44"/>
      <c r="G44" s="160"/>
      <c r="H44" s="44"/>
      <c r="I44" s="161"/>
    </row>
    <row r="45" ht="13.65" customHeight="1">
      <c r="A45" s="70"/>
      <c r="B45" s="159"/>
      <c r="C45" s="159"/>
      <c r="D45" s="159"/>
      <c r="E45" s="44"/>
      <c r="F45" s="44"/>
      <c r="G45" s="160"/>
      <c r="H45" s="44"/>
      <c r="I45" s="161"/>
    </row>
    <row r="46" ht="13.65" customHeight="1">
      <c r="A46" s="70"/>
      <c r="B46" s="159"/>
      <c r="C46" s="159"/>
      <c r="D46" s="159"/>
      <c r="E46" s="44"/>
      <c r="F46" s="44"/>
      <c r="G46" s="160"/>
      <c r="H46" s="44"/>
      <c r="I46" s="161"/>
    </row>
    <row r="47" ht="13.65" customHeight="1">
      <c r="A47" s="70"/>
      <c r="B47" s="159"/>
      <c r="C47" s="159"/>
      <c r="D47" s="159"/>
      <c r="E47" s="44"/>
      <c r="F47" s="44"/>
      <c r="G47" s="160"/>
      <c r="H47" s="44"/>
      <c r="I47" s="161"/>
    </row>
    <row r="48" ht="13.65" customHeight="1">
      <c r="A48" s="70"/>
      <c r="B48" s="159"/>
      <c r="C48" s="159"/>
      <c r="D48" s="159"/>
      <c r="E48" s="44"/>
      <c r="F48" s="44"/>
      <c r="G48" s="160"/>
      <c r="H48" s="44"/>
      <c r="I48" s="161"/>
    </row>
    <row r="49" ht="13.65" customHeight="1">
      <c r="A49" s="70"/>
      <c r="B49" s="159"/>
      <c r="C49" s="159"/>
      <c r="D49" s="159"/>
      <c r="E49" s="44"/>
      <c r="F49" s="162"/>
      <c r="G49" s="160"/>
      <c r="H49" s="44"/>
      <c r="I49" s="161"/>
    </row>
    <row r="50" ht="13.65" customHeight="1">
      <c r="A50" s="70"/>
      <c r="B50" s="159"/>
      <c r="C50" s="159"/>
      <c r="D50" s="159"/>
      <c r="E50" s="44"/>
      <c r="F50" s="162"/>
      <c r="G50" s="160"/>
      <c r="H50" s="44"/>
      <c r="I50" s="161"/>
    </row>
    <row r="51" ht="13.65" customHeight="1">
      <c r="A51" s="70"/>
      <c r="B51" s="159"/>
      <c r="C51" s="159"/>
      <c r="D51" s="159"/>
      <c r="E51" s="44"/>
      <c r="F51" s="44"/>
      <c r="G51" s="44"/>
      <c r="H51" s="44"/>
      <c r="I51" s="161"/>
    </row>
    <row r="52" ht="13.65" customHeight="1">
      <c r="A52" s="70"/>
      <c r="B52" s="159"/>
      <c r="C52" s="159"/>
      <c r="D52" s="159"/>
      <c r="E52" s="44"/>
      <c r="F52" s="44"/>
      <c r="G52" s="44"/>
      <c r="H52" s="44"/>
      <c r="I52" s="161"/>
    </row>
    <row r="53" ht="13.65" customHeight="1">
      <c r="A53" s="70"/>
      <c r="B53" s="159"/>
      <c r="C53" s="159"/>
      <c r="D53" s="159"/>
      <c r="E53" s="44"/>
      <c r="F53" s="44"/>
      <c r="G53" s="160"/>
      <c r="H53" s="44"/>
      <c r="I53" s="161"/>
    </row>
    <row r="54" ht="13.65" customHeight="1">
      <c r="A54" s="70"/>
      <c r="B54" s="159"/>
      <c r="C54" s="159"/>
      <c r="D54" s="159"/>
      <c r="E54" s="44"/>
      <c r="F54" s="44"/>
      <c r="G54" s="44"/>
      <c r="H54" s="44"/>
      <c r="I54" s="45"/>
    </row>
    <row r="55" ht="13.65" customHeight="1">
      <c r="A55" s="70"/>
      <c r="B55" s="159"/>
      <c r="C55" s="159"/>
      <c r="D55" s="159"/>
      <c r="E55" s="44"/>
      <c r="F55" s="44"/>
      <c r="G55" s="44"/>
      <c r="H55" s="44"/>
      <c r="I55" s="45"/>
    </row>
    <row r="56" ht="13.65" customHeight="1">
      <c r="A56" s="70"/>
      <c r="B56" s="159"/>
      <c r="C56" s="159"/>
      <c r="D56" s="159"/>
      <c r="E56" s="44"/>
      <c r="F56" s="44"/>
      <c r="G56" s="44"/>
      <c r="H56" s="44"/>
      <c r="I56" s="45"/>
    </row>
    <row r="57" ht="13.65" customHeight="1">
      <c r="A57" s="70"/>
      <c r="B57" s="159"/>
      <c r="C57" s="159"/>
      <c r="D57" s="159"/>
      <c r="E57" s="44"/>
      <c r="F57" s="44"/>
      <c r="G57" s="44"/>
      <c r="H57" s="44"/>
      <c r="I57" s="45"/>
    </row>
    <row r="58" ht="13.65" customHeight="1">
      <c r="A58" s="70"/>
      <c r="B58" s="159"/>
      <c r="C58" s="159"/>
      <c r="D58" s="159"/>
      <c r="E58" s="44"/>
      <c r="F58" s="44"/>
      <c r="G58" s="44"/>
      <c r="H58" s="44"/>
      <c r="I58" s="45"/>
    </row>
    <row r="59" ht="13.65" customHeight="1">
      <c r="A59" s="70"/>
      <c r="B59" s="163"/>
      <c r="C59" s="163"/>
      <c r="D59" s="163"/>
      <c r="E59" s="74"/>
      <c r="F59" s="74"/>
      <c r="G59" s="164"/>
      <c r="H59" s="74"/>
      <c r="I59" s="165"/>
    </row>
  </sheetData>
  <mergeCells count="12">
    <mergeCell ref="C19:C28"/>
    <mergeCell ref="D19:D28"/>
    <mergeCell ref="B29:B35"/>
    <mergeCell ref="C29:C35"/>
    <mergeCell ref="D29:D35"/>
    <mergeCell ref="B3:B11"/>
    <mergeCell ref="C3:C11"/>
    <mergeCell ref="D3:D11"/>
    <mergeCell ref="B12:B18"/>
    <mergeCell ref="C12:C18"/>
    <mergeCell ref="D12:D18"/>
    <mergeCell ref="B19:B2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M41"/>
  <sheetViews>
    <sheetView workbookViewId="0" showGridLines="0" defaultGridColor="1"/>
  </sheetViews>
  <sheetFormatPr defaultColWidth="12.6667" defaultRowHeight="15.75" customHeight="1" outlineLevelRow="0" outlineLevelCol="0"/>
  <cols>
    <col min="1" max="39" width="18.3516" style="166" customWidth="1"/>
    <col min="40" max="16384" width="12.6719" style="166" customWidth="1"/>
  </cols>
  <sheetData>
    <row r="1" ht="13.65" customHeight="1">
      <c r="A1" s="33"/>
      <c r="B1" t="s" s="3">
        <v>102</v>
      </c>
      <c r="C1" t="s" s="3">
        <v>103</v>
      </c>
      <c r="D1" t="s" s="3">
        <v>104</v>
      </c>
      <c r="E1" t="s" s="3">
        <v>105</v>
      </c>
      <c r="F1" t="s" s="3">
        <v>106</v>
      </c>
      <c r="G1" t="s" s="3">
        <v>107</v>
      </c>
      <c r="H1" t="s" s="3">
        <v>108</v>
      </c>
      <c r="I1" t="s" s="3">
        <v>109</v>
      </c>
      <c r="J1" t="s" s="3">
        <v>110</v>
      </c>
      <c r="K1" t="s" s="3">
        <v>111</v>
      </c>
      <c r="L1" t="s" s="3">
        <v>112</v>
      </c>
      <c r="M1" t="s" s="3">
        <v>113</v>
      </c>
      <c r="N1" t="s" s="3">
        <v>114</v>
      </c>
      <c r="O1" t="s" s="3">
        <v>115</v>
      </c>
      <c r="P1" t="s" s="3">
        <v>116</v>
      </c>
      <c r="Q1" t="s" s="3">
        <v>117</v>
      </c>
      <c r="R1" t="s" s="3">
        <v>118</v>
      </c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ht="13.65" customHeight="1">
      <c r="A2" t="s" s="3">
        <v>119</v>
      </c>
      <c r="B2" s="27">
        <v>5e-05</v>
      </c>
      <c r="C2" s="27">
        <v>0.0008</v>
      </c>
      <c r="D2" s="27" cm="1">
        <f t="array" ref="D2">C2-B2</f>
        <v>0.00075</v>
      </c>
      <c r="E2" s="33"/>
      <c r="F2" s="27">
        <v>1e-06</v>
      </c>
      <c r="G2" s="27">
        <v>0.01</v>
      </c>
      <c r="H2" s="27" cm="1">
        <f t="array" ref="H2">G2-F2</f>
        <v>0.009998999999999999</v>
      </c>
      <c r="I2" s="33"/>
      <c r="J2" s="26">
        <v>0</v>
      </c>
      <c r="K2" s="26">
        <v>0.3</v>
      </c>
      <c r="L2" s="26" cm="1">
        <f t="array" ref="L2">K2-J2</f>
        <v>0.3</v>
      </c>
      <c r="M2" s="33"/>
      <c r="N2" s="26">
        <v>0.05</v>
      </c>
      <c r="O2" s="26">
        <v>0.15</v>
      </c>
      <c r="P2" s="26" cm="1">
        <f t="array" ref="P2">O2-N2</f>
        <v>0.1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ht="13.65" customHeight="1">
      <c r="A3" t="s" s="3">
        <v>120</v>
      </c>
      <c r="B3" s="27">
        <v>2.88e-05</v>
      </c>
      <c r="C3" s="27">
        <v>0.0006579999999999999</v>
      </c>
      <c r="D3" s="27" cm="1">
        <f t="array" ref="D3">C3-B3</f>
        <v>0.0006292</v>
      </c>
      <c r="E3" s="167" cm="1">
        <f t="array" ref="E3">((D2-D3)/D2)*100</f>
        <v>16.1066666666667</v>
      </c>
      <c r="F3" s="27">
        <v>0.00011</v>
      </c>
      <c r="G3" s="27">
        <v>0.00129</v>
      </c>
      <c r="H3" s="27" cm="1">
        <f t="array" ref="H3">G3-F3</f>
        <v>0.00118</v>
      </c>
      <c r="I3" s="167" cm="1">
        <f t="array" ref="I3">((H2-H3)/H2)*100</f>
        <v>88.1988198819882</v>
      </c>
      <c r="J3" s="27">
        <v>0.0993</v>
      </c>
      <c r="K3" s="27">
        <v>0.342</v>
      </c>
      <c r="L3" s="27" cm="1">
        <f t="array" ref="L3">K3-J3</f>
        <v>0.2427</v>
      </c>
      <c r="M3" s="167" cm="1">
        <f t="array" ref="M3">((L2-L3)/L2)*100</f>
        <v>19.1</v>
      </c>
      <c r="N3" s="27">
        <v>0.0999</v>
      </c>
      <c r="O3" s="27">
        <v>0.141</v>
      </c>
      <c r="P3" s="27" cm="1">
        <f t="array" ref="P3">O3-N3</f>
        <v>0.0411</v>
      </c>
      <c r="Q3" s="167" cm="1">
        <f t="array" ref="Q3">((P2-P3)/P2)*100</f>
        <v>58.9</v>
      </c>
      <c r="R3" s="167" cm="1">
        <f t="array" ref="R3">AVERAGE(E3,I3,M3,Q3)</f>
        <v>45.5763716371637</v>
      </c>
      <c r="S3" s="27"/>
      <c r="T3" s="27"/>
      <c r="U3" s="27"/>
      <c r="V3" s="33"/>
      <c r="W3" s="33"/>
      <c r="X3" s="33"/>
      <c r="Y3" s="27"/>
      <c r="Z3" s="27"/>
      <c r="AA3" s="27"/>
      <c r="AB3" s="27"/>
      <c r="AC3" s="33"/>
      <c r="AD3" s="33"/>
      <c r="AE3" s="33"/>
      <c r="AF3" s="27"/>
      <c r="AG3" s="27"/>
      <c r="AH3" s="27"/>
      <c r="AI3" s="27"/>
      <c r="AJ3" s="27"/>
      <c r="AK3" s="33"/>
      <c r="AL3" s="33"/>
      <c r="AM3" s="33"/>
    </row>
    <row r="4" ht="13.65" customHeight="1">
      <c r="A4" t="s" s="3">
        <v>121</v>
      </c>
      <c r="B4" s="27">
        <v>2.88e-05</v>
      </c>
      <c r="C4" s="27">
        <v>0.000181</v>
      </c>
      <c r="D4" s="27" cm="1">
        <f t="array" ref="D4">C4-B4</f>
        <v>0.0001522</v>
      </c>
      <c r="E4" s="167" cm="1">
        <f t="array" ref="E4">((D2-D4)/D2)*100</f>
        <v>79.70666666666671</v>
      </c>
      <c r="F4" s="27">
        <v>0.00011</v>
      </c>
      <c r="G4" s="27">
        <v>0.000972</v>
      </c>
      <c r="H4" s="27" cm="1">
        <f t="array" ref="H4">G4-F4</f>
        <v>0.000862</v>
      </c>
      <c r="I4" s="167" cm="1">
        <f t="array" ref="I4">((H2-H4)/H2)*100</f>
        <v>91.3791379137914</v>
      </c>
      <c r="J4" s="27">
        <v>0.0993</v>
      </c>
      <c r="K4" s="27">
        <v>0.342</v>
      </c>
      <c r="L4" s="27" cm="1">
        <f t="array" ref="L4">K4-J4</f>
        <v>0.2427</v>
      </c>
      <c r="M4" s="167" cm="1">
        <f t="array" ref="M4">((L2-L4)/L2)*100</f>
        <v>19.1</v>
      </c>
      <c r="N4" s="27">
        <v>0.0999</v>
      </c>
      <c r="O4" s="27">
        <v>0.141</v>
      </c>
      <c r="P4" s="27" cm="1">
        <f t="array" ref="P4">O4-N4</f>
        <v>0.0411</v>
      </c>
      <c r="Q4" s="167" cm="1">
        <f t="array" ref="Q4">((P2-P4)/P2)*100</f>
        <v>58.9</v>
      </c>
      <c r="R4" s="167" cm="1">
        <f t="array" ref="R4">AVERAGE(E4,I4,M4,Q4)</f>
        <v>62.2714511451145</v>
      </c>
      <c r="S4" s="27"/>
      <c r="T4" s="27"/>
      <c r="U4" s="27"/>
      <c r="V4" s="33"/>
      <c r="W4" s="33"/>
      <c r="X4" s="33"/>
      <c r="Y4" s="27"/>
      <c r="Z4" s="27"/>
      <c r="AA4" s="27"/>
      <c r="AB4" s="27"/>
      <c r="AC4" s="33"/>
      <c r="AD4" s="33"/>
      <c r="AE4" s="33"/>
      <c r="AF4" s="27"/>
      <c r="AG4" s="27"/>
      <c r="AH4" s="27"/>
      <c r="AI4" s="27"/>
      <c r="AJ4" s="27"/>
      <c r="AK4" s="33"/>
      <c r="AL4" s="33"/>
      <c r="AM4" s="33"/>
    </row>
    <row r="5" ht="13.65" customHeight="1">
      <c r="A5" t="s" s="3">
        <v>122</v>
      </c>
      <c r="B5" s="27">
        <v>7.94e-06</v>
      </c>
      <c r="C5" s="27">
        <v>8.229999999999999e-05</v>
      </c>
      <c r="D5" s="27" cm="1">
        <f t="array" ref="D5">C5-B5</f>
        <v>7.436e-05</v>
      </c>
      <c r="E5" s="167" cm="1">
        <f t="array" ref="E5">((D2-D5)/D2)*100</f>
        <v>90.0853333333333</v>
      </c>
      <c r="F5" s="27">
        <v>4.4092e-05</v>
      </c>
      <c r="G5" s="27">
        <v>0.00136</v>
      </c>
      <c r="H5" s="27" cm="1">
        <f t="array" ref="H5">G5-F5</f>
        <v>0.001315908</v>
      </c>
      <c r="I5" s="167" cm="1">
        <f t="array" ref="I5">((H2-H5)/H2)*100</f>
        <v>86.839603960396</v>
      </c>
      <c r="J5" s="27">
        <v>0.0675</v>
      </c>
      <c r="K5" s="27">
        <v>0.277</v>
      </c>
      <c r="L5" s="27" cm="1">
        <f t="array" ref="L5">K5-J5</f>
        <v>0.2095</v>
      </c>
      <c r="M5" s="167" cm="1">
        <f t="array" ref="M5">((L2-L5)/L2)*100</f>
        <v>30.1666666666667</v>
      </c>
      <c r="N5" s="27">
        <v>0.0929</v>
      </c>
      <c r="O5" s="27">
        <v>0.149</v>
      </c>
      <c r="P5" s="27" cm="1">
        <f t="array" ref="P5">O5-N5</f>
        <v>0.0561</v>
      </c>
      <c r="Q5" s="167" cm="1">
        <f t="array" ref="Q5">((P2-P5)/P2)*100</f>
        <v>43.9</v>
      </c>
      <c r="R5" s="167" cm="1">
        <f t="array" ref="R5">AVERAGE(E5,I5,M5,Q5)</f>
        <v>62.747900990099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</row>
    <row r="6" ht="13.65" customHeight="1">
      <c r="A6" t="s" s="3">
        <v>123</v>
      </c>
      <c r="B6" s="27">
        <v>7.94e-06</v>
      </c>
      <c r="C6" s="27">
        <v>8.229999999999999e-05</v>
      </c>
      <c r="D6" s="27" cm="1">
        <f t="array" ref="D6">C6-B6</f>
        <v>7.436e-05</v>
      </c>
      <c r="E6" s="167" cm="1">
        <f t="array" ref="E6">((D2-D6)/D2)*100</f>
        <v>90.0853333333333</v>
      </c>
      <c r="F6" s="27">
        <v>2.5258e-05</v>
      </c>
      <c r="G6" s="27">
        <v>0.00136</v>
      </c>
      <c r="H6" s="27" cm="1">
        <f t="array" ref="H6">G6-F6</f>
        <v>0.001334742</v>
      </c>
      <c r="I6" s="167" cm="1">
        <f t="array" ref="I6">((H2-H6)/H2)*100</f>
        <v>86.6512451245125</v>
      </c>
      <c r="J6" s="27">
        <v>0.0675</v>
      </c>
      <c r="K6" s="27">
        <v>0.277</v>
      </c>
      <c r="L6" s="27" cm="1">
        <f t="array" ref="L6">K6-J6</f>
        <v>0.2095</v>
      </c>
      <c r="M6" s="167" cm="1">
        <f t="array" ref="M6">((L2-L6)/L2)*100</f>
        <v>30.1666666666667</v>
      </c>
      <c r="N6" s="27">
        <v>0.0929</v>
      </c>
      <c r="O6" s="27">
        <v>0.149</v>
      </c>
      <c r="P6" s="27" cm="1">
        <f t="array" ref="P6">O6-N6</f>
        <v>0.0561</v>
      </c>
      <c r="Q6" s="167" cm="1">
        <f t="array" ref="Q6">((P2-P6)/P2)*100</f>
        <v>43.9</v>
      </c>
      <c r="R6" s="167" cm="1">
        <f t="array" ref="R6">AVERAGE(E6,I6,M6,Q6)</f>
        <v>62.7008112811281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</row>
    <row r="7" ht="13.65" customHeight="1">
      <c r="A7" t="s" s="3">
        <v>124</v>
      </c>
      <c r="B7" s="27">
        <v>2.66e-05</v>
      </c>
      <c r="C7" s="27">
        <v>0.000743</v>
      </c>
      <c r="D7" s="27" cm="1">
        <f t="array" ref="D7">C7-B7</f>
        <v>0.0007164</v>
      </c>
      <c r="E7" s="167" cm="1">
        <f t="array" ref="E7">((D2-D7)/D2)*100</f>
        <v>4.48</v>
      </c>
      <c r="F7" s="27">
        <v>1.53e-05</v>
      </c>
      <c r="G7" s="27">
        <v>0.00136</v>
      </c>
      <c r="H7" s="27" cm="1">
        <f t="array" ref="H7">G7-F7</f>
        <v>0.0013447</v>
      </c>
      <c r="I7" s="167" cm="1">
        <f t="array" ref="I7">((H2-H7)/H2)*100</f>
        <v>86.55165516551661</v>
      </c>
      <c r="J7" s="27">
        <v>0.0827</v>
      </c>
      <c r="K7" s="27">
        <v>0.314</v>
      </c>
      <c r="L7" s="27" cm="1">
        <f t="array" ref="L7">K7-J7</f>
        <v>0.2313</v>
      </c>
      <c r="M7" s="167" cm="1">
        <f t="array" ref="M7">((L2-L7)/L2)*100</f>
        <v>22.9</v>
      </c>
      <c r="N7" s="27">
        <v>0.0953</v>
      </c>
      <c r="O7" s="27">
        <v>0.149</v>
      </c>
      <c r="P7" s="27" cm="1">
        <f t="array" ref="P7">O7-N7</f>
        <v>0.0537</v>
      </c>
      <c r="Q7" s="167" cm="1">
        <f t="array" ref="Q7">((P2-P7)/P2)*100</f>
        <v>46.3</v>
      </c>
      <c r="R7" s="167" cm="1">
        <f t="array" ref="R7">AVERAGE(E7,I7,M7,Q7)</f>
        <v>40.0579137913792</v>
      </c>
      <c r="S7" s="27"/>
      <c r="T7" s="27"/>
      <c r="U7" s="27"/>
      <c r="V7" s="33"/>
      <c r="W7" s="33"/>
      <c r="X7" s="33"/>
      <c r="Y7" s="27"/>
      <c r="Z7" s="27"/>
      <c r="AA7" s="27"/>
      <c r="AB7" s="27"/>
      <c r="AC7" s="33"/>
      <c r="AD7" s="33"/>
      <c r="AE7" s="33"/>
      <c r="AF7" s="27"/>
      <c r="AG7" s="27"/>
      <c r="AH7" s="27"/>
      <c r="AI7" s="27"/>
      <c r="AJ7" s="27"/>
      <c r="AK7" s="33"/>
      <c r="AL7" s="33"/>
      <c r="AM7" s="33"/>
    </row>
    <row r="8" ht="13.65" customHeight="1">
      <c r="A8" t="s" s="3">
        <v>125</v>
      </c>
      <c r="B8" s="27">
        <v>2.66e-05</v>
      </c>
      <c r="C8" s="27">
        <v>0.0002</v>
      </c>
      <c r="D8" s="27" cm="1">
        <f t="array" ref="D8">C8-B8</f>
        <v>0.0001734</v>
      </c>
      <c r="E8" s="167" cm="1">
        <f t="array" ref="E8">((D2-D8)/D2)*100</f>
        <v>76.88</v>
      </c>
      <c r="F8" s="27">
        <v>1.53e-05</v>
      </c>
      <c r="G8" s="27">
        <v>0.0009959999999999999</v>
      </c>
      <c r="H8" s="27" cm="1">
        <f t="array" ref="H8">G8-F8</f>
        <v>0.0009806999999999999</v>
      </c>
      <c r="I8" s="167" cm="1">
        <f t="array" ref="I8">((H2-H8)/H2)*100</f>
        <v>90.1920192019202</v>
      </c>
      <c r="J8" s="27">
        <v>0.0827</v>
      </c>
      <c r="K8" s="27">
        <v>0.314</v>
      </c>
      <c r="L8" s="27" cm="1">
        <f t="array" ref="L8">K8-J8</f>
        <v>0.2313</v>
      </c>
      <c r="M8" s="167" cm="1">
        <f t="array" ref="M8">((L2-L8)/L2)*100</f>
        <v>22.9</v>
      </c>
      <c r="N8" s="27">
        <v>0.0953</v>
      </c>
      <c r="O8" s="27">
        <v>0.149</v>
      </c>
      <c r="P8" s="27" cm="1">
        <f t="array" ref="P8">O8-N8</f>
        <v>0.0537</v>
      </c>
      <c r="Q8" s="167" cm="1">
        <f t="array" ref="Q8">((P2-P8)/P2)*100</f>
        <v>46.3</v>
      </c>
      <c r="R8" s="167" cm="1">
        <f t="array" ref="R8">AVERAGE(E8,I8,M8,Q8)</f>
        <v>59.0680048004801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</row>
    <row r="9" ht="13.65" customHeight="1">
      <c r="A9" t="s" s="3">
        <v>126</v>
      </c>
      <c r="B9" s="27">
        <v>2.65e-05</v>
      </c>
      <c r="C9" s="27">
        <v>8.24e-05</v>
      </c>
      <c r="D9" s="27" cm="1">
        <f t="array" ref="D9">C9-B9</f>
        <v>5.59e-05</v>
      </c>
      <c r="E9" s="167" cm="1">
        <f t="array" ref="E9">((D2-D9)/D2)*100</f>
        <v>92.5466666666667</v>
      </c>
      <c r="F9" s="27">
        <v>6.421e-05</v>
      </c>
      <c r="G9" s="27">
        <v>0.00105</v>
      </c>
      <c r="H9" s="27" cm="1">
        <f t="array" ref="H9">G9-F9</f>
        <v>0.0009857900000000001</v>
      </c>
      <c r="I9" s="167" cm="1">
        <f t="array" ref="I9">((H2-H9)/H2)*100</f>
        <v>90.1411141114111</v>
      </c>
      <c r="J9" s="27">
        <v>0.116</v>
      </c>
      <c r="K9" s="27">
        <v>0.272</v>
      </c>
      <c r="L9" s="27" cm="1">
        <f t="array" ref="L9">K9-J9</f>
        <v>0.156</v>
      </c>
      <c r="M9" s="167" cm="1">
        <f t="array" ref="M9">((L2-L9)/L2)*100</f>
        <v>48</v>
      </c>
      <c r="N9" s="27">
        <v>0.09760000000000001</v>
      </c>
      <c r="O9" s="27">
        <v>0.14</v>
      </c>
      <c r="P9" s="27" cm="1">
        <f t="array" ref="P9">O9-N9</f>
        <v>0.0424</v>
      </c>
      <c r="Q9" s="167" cm="1">
        <f t="array" ref="Q9">((P2-P9)/P2)*100</f>
        <v>57.6</v>
      </c>
      <c r="R9" s="167" cm="1">
        <f t="array" ref="R9">AVERAGE(E9,I9,M9,Q9)</f>
        <v>72.0719451945195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</row>
    <row r="10" ht="13.65" customHeight="1">
      <c r="A10" t="s" s="3">
        <v>127</v>
      </c>
      <c r="B10" s="27">
        <v>2.65e-05</v>
      </c>
      <c r="C10" s="27">
        <v>8.24e-05</v>
      </c>
      <c r="D10" s="27" cm="1">
        <f t="array" ref="D10">C10-B10</f>
        <v>5.59e-05</v>
      </c>
      <c r="E10" s="167" cm="1">
        <f t="array" ref="E10">((D2-D10)/D2)*100</f>
        <v>92.5466666666667</v>
      </c>
      <c r="F10" s="27">
        <v>5.0069e-05</v>
      </c>
      <c r="G10" s="27">
        <v>0.00105</v>
      </c>
      <c r="H10" s="27" cm="1">
        <f t="array" ref="H10">G10-F10</f>
        <v>0.0009999309999999999</v>
      </c>
      <c r="I10" s="167" cm="1">
        <f t="array" ref="I10">((H2-H10)/H2)*100</f>
        <v>89.9996899689969</v>
      </c>
      <c r="J10" s="27">
        <v>0.116</v>
      </c>
      <c r="K10" s="27">
        <v>0.272</v>
      </c>
      <c r="L10" s="27" cm="1">
        <f t="array" ref="L10">K10-J10</f>
        <v>0.156</v>
      </c>
      <c r="M10" s="167" cm="1">
        <f t="array" ref="M10">((L2-L10)/L2)*100</f>
        <v>48</v>
      </c>
      <c r="N10" s="27">
        <v>0.09760000000000001</v>
      </c>
      <c r="O10" s="27">
        <v>0.14</v>
      </c>
      <c r="P10" s="27" cm="1">
        <f t="array" ref="P10">O10-N10</f>
        <v>0.0424</v>
      </c>
      <c r="Q10" s="167" cm="1">
        <f t="array" ref="Q10">((P2-P10)/P2)*100</f>
        <v>57.6</v>
      </c>
      <c r="R10" s="167" cm="1">
        <f t="array" ref="R10">AVERAGE(E10,I10,M10,Q10)</f>
        <v>72.0365891589159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ht="13.65" customHeight="1">
      <c r="A11" t="s" s="3">
        <v>128</v>
      </c>
      <c r="B11" s="27">
        <v>4.7e-05</v>
      </c>
      <c r="C11" s="27">
        <v>0.000483</v>
      </c>
      <c r="D11" s="27" cm="1">
        <f t="array" ref="D11">C11-B11</f>
        <v>0.000436</v>
      </c>
      <c r="E11" s="167" cm="1">
        <f t="array" ref="E11">((D2-D11)/D2)*100</f>
        <v>41.8666666666667</v>
      </c>
      <c r="F11" s="27">
        <v>2.21e-06</v>
      </c>
      <c r="G11" s="27">
        <v>0.00082</v>
      </c>
      <c r="H11" s="27" cm="1">
        <f t="array" ref="H11">G11-F11</f>
        <v>0.00081779</v>
      </c>
      <c r="I11" s="167" cm="1">
        <f t="array" ref="I11">((H2-H11)/H2)*100</f>
        <v>91.8212821282128</v>
      </c>
      <c r="J11" s="27">
        <v>0.0584</v>
      </c>
      <c r="K11" s="27">
        <v>0.275</v>
      </c>
      <c r="L11" s="27" cm="1">
        <f t="array" ref="L11">K11-J11</f>
        <v>0.2166</v>
      </c>
      <c r="M11" s="167" cm="1">
        <f t="array" ref="M11">((L2-L11)/L2)*100</f>
        <v>27.8</v>
      </c>
      <c r="N11" s="27">
        <v>0.0993</v>
      </c>
      <c r="O11" s="27">
        <v>0.142</v>
      </c>
      <c r="P11" s="27" cm="1">
        <f t="array" ref="P11">O11-N11</f>
        <v>0.0427</v>
      </c>
      <c r="Q11" s="167" cm="1">
        <f t="array" ref="Q11">((P2-P11)/P2)*100</f>
        <v>57.3</v>
      </c>
      <c r="R11" s="167" cm="1">
        <f t="array" ref="R11">AVERAGE(E11,I11,M11,Q11)</f>
        <v>54.6969871987199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</row>
    <row r="12" ht="13.65" customHeight="1">
      <c r="A12" t="s" s="3">
        <v>129</v>
      </c>
      <c r="B12" s="27">
        <v>4.7e-05</v>
      </c>
      <c r="C12" s="27">
        <v>0.000152</v>
      </c>
      <c r="D12" s="27" cm="1">
        <f t="array" ref="D12">C12-B12</f>
        <v>0.000105</v>
      </c>
      <c r="E12" s="167" cm="1">
        <f t="array" ref="E12">((D2-D12)/D2)*100</f>
        <v>86</v>
      </c>
      <c r="F12" s="27">
        <v>2.21e-06</v>
      </c>
      <c r="G12" s="27">
        <v>0.000599</v>
      </c>
      <c r="H12" s="27" cm="1">
        <f t="array" ref="H12">G12-F12</f>
        <v>0.00059679</v>
      </c>
      <c r="I12" s="167" cm="1">
        <f t="array" ref="I12">((H2-H12)/H2)*100</f>
        <v>94.031503150315</v>
      </c>
      <c r="J12" s="27">
        <v>0.0584</v>
      </c>
      <c r="K12" s="27">
        <v>0.275</v>
      </c>
      <c r="L12" s="27" cm="1">
        <f t="array" ref="L12">K12-J12</f>
        <v>0.2166</v>
      </c>
      <c r="M12" s="167" cm="1">
        <f t="array" ref="M12">((L2-L12)/L2)*100</f>
        <v>27.8</v>
      </c>
      <c r="N12" s="27">
        <v>0.0993</v>
      </c>
      <c r="O12" s="27">
        <v>0.142</v>
      </c>
      <c r="P12" s="27" cm="1">
        <f t="array" ref="P12">O12-N12</f>
        <v>0.0427</v>
      </c>
      <c r="Q12" s="167" cm="1">
        <f t="array" ref="Q12">((P2-P12)/P2)*100</f>
        <v>57.3</v>
      </c>
      <c r="R12" s="167" cm="1">
        <f t="array" ref="R12">AVERAGE(E12,I12,M12,Q12)</f>
        <v>66.2828757875788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</row>
    <row r="13" ht="13.65" customHeight="1">
      <c r="A13" t="s" s="3">
        <v>130</v>
      </c>
      <c r="B13" s="27">
        <v>1.37e-05</v>
      </c>
      <c r="C13" s="27">
        <v>8.01e-05</v>
      </c>
      <c r="D13" s="27" cm="1">
        <f t="array" ref="D13">C13-B13</f>
        <v>6.64e-05</v>
      </c>
      <c r="E13" s="167" cm="1">
        <f t="array" ref="E13">((D2-D13)/D2)*100</f>
        <v>91.1466666666667</v>
      </c>
      <c r="F13" s="27">
        <v>6.2222e-05</v>
      </c>
      <c r="G13" s="27">
        <v>0.00123</v>
      </c>
      <c r="H13" s="27" cm="1">
        <f t="array" ref="H13">G13-F13</f>
        <v>0.001167778</v>
      </c>
      <c r="I13" s="167" cm="1">
        <f t="array" ref="I13">((H2-H13)/H2)*100</f>
        <v>88.3210521052105</v>
      </c>
      <c r="J13" s="27">
        <v>0.0905</v>
      </c>
      <c r="K13" s="27">
        <v>0.276</v>
      </c>
      <c r="L13" s="27" cm="1">
        <f t="array" ref="L13">K13-J13</f>
        <v>0.1855</v>
      </c>
      <c r="M13" s="167" cm="1">
        <f t="array" ref="M13">((L2-L13)/L2)*100</f>
        <v>38.1666666666667</v>
      </c>
      <c r="N13" s="27">
        <v>0.0949</v>
      </c>
      <c r="O13" s="27">
        <v>0.145</v>
      </c>
      <c r="P13" s="27" cm="1">
        <f t="array" ref="P13">O13-N13</f>
        <v>0.0501</v>
      </c>
      <c r="Q13" s="167" cm="1">
        <f t="array" ref="Q13">((P2-P13)/P2)*100</f>
        <v>49.9</v>
      </c>
      <c r="R13" s="167" cm="1">
        <f t="array" ref="R13">AVERAGE(E13,I13,M13,Q13)</f>
        <v>66.883596359636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</row>
    <row r="14" ht="13.65" customHeight="1">
      <c r="A14" t="s" s="3">
        <v>131</v>
      </c>
      <c r="B14" s="27">
        <v>1.37e-05</v>
      </c>
      <c r="C14" s="27">
        <v>8.01e-05</v>
      </c>
      <c r="D14" s="27" cm="1">
        <f t="array" ref="D14">C14-B14</f>
        <v>6.64e-05</v>
      </c>
      <c r="E14" s="167" cm="1">
        <f t="array" ref="E14">((D2-D14)/D2)*100</f>
        <v>91.1466666666667</v>
      </c>
      <c r="F14" s="27">
        <v>4.5427e-05</v>
      </c>
      <c r="G14" s="27">
        <v>0.00123</v>
      </c>
      <c r="H14" s="27" cm="1">
        <f t="array" ref="H14">G14-F14</f>
        <v>0.001184573</v>
      </c>
      <c r="I14" s="167" cm="1">
        <f t="array" ref="I14">((H2-H14)/H2)*100</f>
        <v>88.1530853085309</v>
      </c>
      <c r="J14" s="27">
        <v>0.0905</v>
      </c>
      <c r="K14" s="27">
        <v>0.276</v>
      </c>
      <c r="L14" s="27" cm="1">
        <f t="array" ref="L14">K14-J14</f>
        <v>0.1855</v>
      </c>
      <c r="M14" s="167" cm="1">
        <f t="array" ref="M14">((L2-L14)/L2)*100</f>
        <v>38.1666666666667</v>
      </c>
      <c r="N14" s="27">
        <v>0.0949</v>
      </c>
      <c r="O14" s="27">
        <v>0.145</v>
      </c>
      <c r="P14" s="27" cm="1">
        <f t="array" ref="P14">O14-N14</f>
        <v>0.0501</v>
      </c>
      <c r="Q14" s="167" cm="1">
        <f t="array" ref="Q14">((P2-P14)/P2)*100</f>
        <v>49.9</v>
      </c>
      <c r="R14" s="167" cm="1">
        <f t="array" ref="R14">AVERAGE(E14,I14,M14,Q14)</f>
        <v>66.8416046604661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ht="13.65" customHeight="1">
      <c r="A15" t="s" s="3">
        <v>132</v>
      </c>
      <c r="B15" s="27">
        <v>2.88e-05</v>
      </c>
      <c r="C15" s="27">
        <v>0.000181</v>
      </c>
      <c r="D15" s="27" cm="1">
        <f t="array" ref="D15">C15-B15</f>
        <v>0.0001522</v>
      </c>
      <c r="E15" s="167" cm="1">
        <f t="array" ref="E15">((D2-D15)/D2)*100</f>
        <v>79.70666666666671</v>
      </c>
      <c r="F15" s="27">
        <v>0.00011</v>
      </c>
      <c r="G15" s="27">
        <v>0.000972</v>
      </c>
      <c r="H15" s="27" cm="1">
        <f t="array" ref="H15">G15-F15</f>
        <v>0.000862</v>
      </c>
      <c r="I15" s="167" cm="1">
        <f t="array" ref="I15">((H2-H15)/H2)*100</f>
        <v>91.3791379137914</v>
      </c>
      <c r="J15" s="27">
        <v>0.143</v>
      </c>
      <c r="K15" s="27">
        <v>0.342</v>
      </c>
      <c r="L15" s="27" cm="1">
        <f t="array" ref="L15">K15-J15</f>
        <v>0.199</v>
      </c>
      <c r="M15" s="167" cm="1">
        <f t="array" ref="M15">((L2-L15)/L2)*100</f>
        <v>33.6666666666667</v>
      </c>
      <c r="N15" s="27">
        <v>0.0999</v>
      </c>
      <c r="O15" s="27">
        <v>0.141</v>
      </c>
      <c r="P15" s="27" cm="1">
        <f t="array" ref="P15">O15-N15</f>
        <v>0.0411</v>
      </c>
      <c r="Q15" s="167" cm="1">
        <f t="array" ref="Q15">((P2-P15)/P2)*100</f>
        <v>58.9</v>
      </c>
      <c r="R15" s="167" cm="1">
        <f t="array" ref="R15">AVERAGE(E15,I15,M15,Q15)</f>
        <v>65.91311781178121</v>
      </c>
      <c r="S15" s="33"/>
      <c r="T15" s="33"/>
      <c r="U15" s="33"/>
      <c r="V15" s="33"/>
      <c r="W15" s="33"/>
      <c r="X15" s="33"/>
      <c r="Y15" s="27"/>
      <c r="Z15" s="27"/>
      <c r="AA15" s="27"/>
      <c r="AB15" s="27"/>
      <c r="AC15" s="33"/>
      <c r="AD15" s="33"/>
      <c r="AE15" s="33"/>
      <c r="AF15" s="27"/>
      <c r="AG15" s="27"/>
      <c r="AH15" s="27"/>
      <c r="AI15" s="27"/>
      <c r="AJ15" s="27"/>
      <c r="AK15" s="33"/>
      <c r="AL15" s="33"/>
      <c r="AM15" s="33"/>
    </row>
    <row r="16" ht="13.65" customHeight="1">
      <c r="A16" t="s" s="3">
        <v>133</v>
      </c>
      <c r="B16" s="27">
        <v>2.66e-05</v>
      </c>
      <c r="C16" s="27">
        <v>0.0002</v>
      </c>
      <c r="D16" s="27" cm="1">
        <f t="array" ref="D16">C16-B16</f>
        <v>0.0001734</v>
      </c>
      <c r="E16" s="167" cm="1">
        <f t="array" ref="E16">((D2-D16)/D2)*100</f>
        <v>76.88</v>
      </c>
      <c r="F16" s="27">
        <v>1.53e-05</v>
      </c>
      <c r="G16" s="27">
        <v>0.0009959999999999999</v>
      </c>
      <c r="H16" s="27" cm="1">
        <f t="array" ref="H16">G16-F16</f>
        <v>0.0009806999999999999</v>
      </c>
      <c r="I16" s="167" cm="1">
        <f t="array" ref="I16">((H2-H16)/H2)*100</f>
        <v>90.1920192019202</v>
      </c>
      <c r="J16" s="27">
        <v>0.124</v>
      </c>
      <c r="K16" s="27">
        <v>0.314</v>
      </c>
      <c r="L16" s="27" cm="1">
        <f t="array" ref="L16">K16-J16</f>
        <v>0.19</v>
      </c>
      <c r="M16" s="167" cm="1">
        <f t="array" ref="M16">((L2-L16)/L2)*100</f>
        <v>36.6666666666667</v>
      </c>
      <c r="N16" s="27">
        <v>0.0953</v>
      </c>
      <c r="O16" s="27">
        <v>0.149</v>
      </c>
      <c r="P16" s="27" cm="1">
        <f t="array" ref="P16">O16-N16</f>
        <v>0.0537</v>
      </c>
      <c r="Q16" s="167" cm="1">
        <f t="array" ref="Q16">((P2-P16)/P2)*100</f>
        <v>46.3</v>
      </c>
      <c r="R16" s="167" cm="1">
        <f t="array" ref="R16">AVERAGE(E16,I16,M16,Q16)</f>
        <v>62.5096714671467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ht="13.65" customHeight="1">
      <c r="A17" t="s" s="3">
        <v>134</v>
      </c>
      <c r="B17" s="27">
        <v>4.7e-05</v>
      </c>
      <c r="C17" s="27">
        <v>0.000152</v>
      </c>
      <c r="D17" s="27" cm="1">
        <f t="array" ref="D17">C17-B17</f>
        <v>0.000105</v>
      </c>
      <c r="E17" s="167" cm="1">
        <f t="array" ref="E17">((D2-D17)/D2)*100</f>
        <v>86</v>
      </c>
      <c r="F17" s="27">
        <v>2.21e-06</v>
      </c>
      <c r="G17" s="27">
        <v>0.000599</v>
      </c>
      <c r="H17" s="27" cm="1">
        <f t="array" ref="H17">G17-F17</f>
        <v>0.00059679</v>
      </c>
      <c r="I17" s="167" cm="1">
        <f t="array" ref="I17">((H2-H17)/H2)*100</f>
        <v>94.031503150315</v>
      </c>
      <c r="J17" s="27">
        <v>0.09710000000000001</v>
      </c>
      <c r="K17" s="27">
        <v>0.275</v>
      </c>
      <c r="L17" s="27" cm="1">
        <f t="array" ref="L17">K17-J17</f>
        <v>0.1779</v>
      </c>
      <c r="M17" s="167" cm="1">
        <f t="array" ref="M17">((L2-L17)/L2)*100</f>
        <v>40.7</v>
      </c>
      <c r="N17" s="27">
        <v>0.0993</v>
      </c>
      <c r="O17" s="27">
        <v>0.142</v>
      </c>
      <c r="P17" s="27" cm="1">
        <f t="array" ref="P17">O17-N17</f>
        <v>0.0427</v>
      </c>
      <c r="Q17" s="167" cm="1">
        <f t="array" ref="Q17">((P2-P17)/P2)*100</f>
        <v>57.3</v>
      </c>
      <c r="R17" s="167" cm="1">
        <f t="array" ref="R17">AVERAGE(E17,I17,M17,Q17)</f>
        <v>69.5078757875788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</row>
    <row r="18" ht="13.65" customHeight="1">
      <c r="A18" s="40"/>
      <c r="B18" s="4"/>
      <c r="C18" s="4"/>
      <c r="D18" s="40"/>
      <c r="E18" s="168"/>
      <c r="F18" s="4"/>
      <c r="G18" s="4"/>
      <c r="H18" s="40"/>
      <c r="I18" s="168"/>
      <c r="J18" s="4"/>
      <c r="K18" s="4"/>
      <c r="L18" s="40"/>
      <c r="M18" s="168"/>
      <c r="N18" s="4"/>
      <c r="O18" s="4"/>
      <c r="P18" s="40"/>
      <c r="Q18" s="16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</row>
    <row r="19" ht="13.65" customHeight="1">
      <c r="A19" t="s" s="169">
        <v>135</v>
      </c>
      <c r="B19" s="170">
        <v>2.88e-05</v>
      </c>
      <c r="C19" s="170">
        <v>0.0006579999999999999</v>
      </c>
      <c r="D19" s="170" cm="1">
        <f t="array" ref="D19">C19-B19</f>
        <v>0.0006292</v>
      </c>
      <c r="E19" s="171" cm="1">
        <f t="array" ref="E19">((D2-D19)/D2)*100</f>
        <v>16.1066666666667</v>
      </c>
      <c r="F19" s="170">
        <v>0.00011</v>
      </c>
      <c r="G19" s="170">
        <v>0.00129</v>
      </c>
      <c r="H19" s="170" cm="1">
        <f t="array" ref="H19">G19-F19</f>
        <v>0.00118</v>
      </c>
      <c r="I19" s="171" cm="1">
        <f t="array" ref="I19">((H2-H19)/H2)*100</f>
        <v>88.1988198819882</v>
      </c>
      <c r="J19" s="170">
        <v>0.245</v>
      </c>
      <c r="K19" s="170">
        <v>0.303</v>
      </c>
      <c r="L19" s="170" cm="1">
        <f t="array" ref="L19">K19-J19</f>
        <v>0.058</v>
      </c>
      <c r="M19" s="171" cm="1">
        <f t="array" ref="M19">((L2-L19)/L2)*100</f>
        <v>80.6666666666667</v>
      </c>
      <c r="N19" s="170">
        <v>0.113</v>
      </c>
      <c r="O19" s="170">
        <v>0.119</v>
      </c>
      <c r="P19" s="170" cm="1">
        <f t="array" ref="P19">O19-N19</f>
        <v>0.006</v>
      </c>
      <c r="Q19" s="171" cm="1">
        <f t="array" ref="Q19">((P2-P19)/P2)*100</f>
        <v>94</v>
      </c>
      <c r="R19" s="171" cm="1">
        <f t="array" ref="R19">AVERAGE(E19,I19,M19,Q19)</f>
        <v>69.7430383038304</v>
      </c>
      <c r="S19" s="172"/>
      <c r="T19" s="172"/>
      <c r="U19" s="172"/>
      <c r="V19" s="172"/>
      <c r="W19" s="172"/>
      <c r="X19" s="172"/>
      <c r="Y19" s="170"/>
      <c r="Z19" s="170"/>
      <c r="AA19" s="170"/>
      <c r="AB19" s="170"/>
      <c r="AC19" s="172"/>
      <c r="AD19" s="172"/>
      <c r="AE19" s="172"/>
      <c r="AF19" s="170"/>
      <c r="AG19" s="170"/>
      <c r="AH19" s="170"/>
      <c r="AI19" s="170"/>
      <c r="AJ19" s="170"/>
      <c r="AK19" s="172"/>
      <c r="AL19" s="172"/>
      <c r="AM19" s="173"/>
    </row>
    <row r="20" ht="13.65" customHeight="1">
      <c r="A20" t="s" s="169">
        <v>136</v>
      </c>
      <c r="B20" s="170">
        <v>2.66e-05</v>
      </c>
      <c r="C20" s="170">
        <v>0.000743</v>
      </c>
      <c r="D20" s="170" cm="1">
        <f t="array" ref="D20">C20-B20</f>
        <v>0.0007164</v>
      </c>
      <c r="E20" s="171" cm="1">
        <f t="array" ref="E20">((D2-D20)/D2)*100</f>
        <v>4.48</v>
      </c>
      <c r="F20" s="170">
        <v>1.53e-05</v>
      </c>
      <c r="G20" s="170">
        <v>0.00136</v>
      </c>
      <c r="H20" s="170" cm="1">
        <f t="array" ref="H20">G20-F20</f>
        <v>0.0013447</v>
      </c>
      <c r="I20" s="171" cm="1">
        <f t="array" ref="I20">((H2-H20)/H2)*100</f>
        <v>86.55165516551661</v>
      </c>
      <c r="J20" s="170">
        <v>0.222</v>
      </c>
      <c r="K20" s="170">
        <v>0.278</v>
      </c>
      <c r="L20" s="170" cm="1">
        <f t="array" ref="L20">K20-J20</f>
        <v>0.056</v>
      </c>
      <c r="M20" s="171" cm="1">
        <f t="array" ref="M20">((L2-L20)/L2)*100</f>
        <v>81.3333333333333</v>
      </c>
      <c r="N20" s="170">
        <v>0.113</v>
      </c>
      <c r="O20" s="170">
        <v>0.121</v>
      </c>
      <c r="P20" s="170" cm="1">
        <f t="array" ref="P20">O20-N20</f>
        <v>0.008</v>
      </c>
      <c r="Q20" s="171" cm="1">
        <f t="array" ref="Q20">((P2-P20)/P2)*100</f>
        <v>92</v>
      </c>
      <c r="R20" s="171" cm="1">
        <f t="array" ref="R20">AVERAGE(E20,I20,M20,Q20)</f>
        <v>66.0912471247125</v>
      </c>
      <c r="S20" s="172"/>
      <c r="T20" s="172"/>
      <c r="U20" s="172"/>
      <c r="V20" s="172"/>
      <c r="W20" s="172"/>
      <c r="X20" s="172"/>
      <c r="Y20" s="170"/>
      <c r="Z20" s="170"/>
      <c r="AA20" s="170"/>
      <c r="AB20" s="170"/>
      <c r="AC20" s="172"/>
      <c r="AD20" s="172"/>
      <c r="AE20" s="172"/>
      <c r="AF20" s="170"/>
      <c r="AG20" s="170"/>
      <c r="AH20" s="170"/>
      <c r="AI20" s="170"/>
      <c r="AJ20" s="170"/>
      <c r="AK20" s="174" cm="1">
        <f t="array" ref="AK20">(AI1)</f>
        <v>0</v>
      </c>
      <c r="AL20" s="172"/>
      <c r="AM20" s="173"/>
    </row>
    <row r="21" ht="13.65" customHeight="1">
      <c r="A21" t="s" s="169">
        <v>137</v>
      </c>
      <c r="B21" s="170">
        <v>7.94e-06</v>
      </c>
      <c r="C21" s="170">
        <v>0.000212</v>
      </c>
      <c r="D21" s="170" cm="1">
        <f t="array" ref="D21">C21-B21</f>
        <v>0.00020406</v>
      </c>
      <c r="E21" s="171" cm="1">
        <f t="array" ref="E21">((D2-D21)/D2)*100</f>
        <v>72.792</v>
      </c>
      <c r="F21" s="170">
        <v>4.88e-05</v>
      </c>
      <c r="G21" s="170">
        <v>0.00136</v>
      </c>
      <c r="H21" s="170" cm="1">
        <f t="array" ref="H21">G21-F21</f>
        <v>0.0013112</v>
      </c>
      <c r="I21" s="171" cm="1">
        <f t="array" ref="I21">((H2-H21)/H2)*100</f>
        <v>86.8866886688669</v>
      </c>
      <c r="J21" s="170">
        <v>0.0675</v>
      </c>
      <c r="K21" s="170">
        <v>0.277</v>
      </c>
      <c r="L21" s="170" cm="1">
        <f t="array" ref="L21">K21-J21</f>
        <v>0.2095</v>
      </c>
      <c r="M21" s="171" cm="1">
        <f t="array" ref="M21">((L2-L21)/L2)*100</f>
        <v>30.1666666666667</v>
      </c>
      <c r="N21" s="170">
        <v>0.0929</v>
      </c>
      <c r="O21" s="170">
        <v>0.149</v>
      </c>
      <c r="P21" s="170" cm="1">
        <f t="array" ref="P21">O21-N21</f>
        <v>0.0561</v>
      </c>
      <c r="Q21" s="171" cm="1">
        <f t="array" ref="Q21">((P2-P21)/P2)*100</f>
        <v>43.9</v>
      </c>
      <c r="R21" s="171" cm="1">
        <f t="array" ref="R21">AVERAGE(E21,I21,M21,Q21)</f>
        <v>58.4363388338834</v>
      </c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3"/>
    </row>
    <row r="22" ht="13.65" customHeight="1">
      <c r="A22" t="s" s="169">
        <v>138</v>
      </c>
      <c r="B22" s="170">
        <v>2.65e-05</v>
      </c>
      <c r="C22" s="170">
        <v>0.00018</v>
      </c>
      <c r="D22" s="170" cm="1">
        <f t="array" ref="D22">C22-B22</f>
        <v>0.0001535</v>
      </c>
      <c r="E22" s="171" cm="1">
        <f t="array" ref="E22">((D2-D22)/D2)*100</f>
        <v>79.5333333333333</v>
      </c>
      <c r="F22" s="170">
        <v>6.770000000000001e-05</v>
      </c>
      <c r="G22" s="170">
        <v>0.00105</v>
      </c>
      <c r="H22" s="170" cm="1">
        <f t="array" ref="H22">G22-F22</f>
        <v>0.0009823</v>
      </c>
      <c r="I22" s="171" cm="1">
        <f t="array" ref="I22">((H2-H22)/H2)*100</f>
        <v>90.17601760176019</v>
      </c>
      <c r="J22" s="170">
        <v>0.116</v>
      </c>
      <c r="K22" s="170">
        <v>0.272</v>
      </c>
      <c r="L22" s="170" cm="1">
        <f t="array" ref="L22">K22-J22</f>
        <v>0.156</v>
      </c>
      <c r="M22" s="171" cm="1">
        <f t="array" ref="M22">((L2-L22)/L2)*100</f>
        <v>48</v>
      </c>
      <c r="N22" s="170">
        <v>0.09760000000000001</v>
      </c>
      <c r="O22" s="170">
        <v>0.14</v>
      </c>
      <c r="P22" s="170" cm="1">
        <f t="array" ref="P22">O22-N22</f>
        <v>0.0424</v>
      </c>
      <c r="Q22" s="171" cm="1">
        <f t="array" ref="Q22">((P2-P22)/P2)*100</f>
        <v>57.6</v>
      </c>
      <c r="R22" s="171" cm="1">
        <f t="array" ref="R22">AVERAGE(E22,I22,M22,Q22)</f>
        <v>68.8273377337734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3"/>
    </row>
    <row r="23" ht="13.65" customHeight="1">
      <c r="A23" t="s" s="169">
        <v>139</v>
      </c>
      <c r="B23" s="170">
        <v>1.37e-05</v>
      </c>
      <c r="C23" s="170">
        <v>0.000196</v>
      </c>
      <c r="D23" s="170" cm="1">
        <f t="array" ref="D23">C23-B23</f>
        <v>0.0001823</v>
      </c>
      <c r="E23" s="171" cm="1">
        <f t="array" ref="E23">((D2-D23)/D2)*100</f>
        <v>75.6933333333333</v>
      </c>
      <c r="F23" s="170">
        <v>6.64e-05</v>
      </c>
      <c r="G23" s="170">
        <v>0.00123</v>
      </c>
      <c r="H23" s="170" cm="1">
        <f t="array" ref="H23">G23-F23</f>
        <v>0.0011636</v>
      </c>
      <c r="I23" s="171" cm="1">
        <f t="array" ref="I23">((H2-H23)/H2)*100</f>
        <v>88.3628362836284</v>
      </c>
      <c r="J23" s="170">
        <v>0.0905</v>
      </c>
      <c r="K23" s="170">
        <v>0.276</v>
      </c>
      <c r="L23" s="170" cm="1">
        <f t="array" ref="L23">K23-J23</f>
        <v>0.1855</v>
      </c>
      <c r="M23" s="171" cm="1">
        <f t="array" ref="M23">((L2-L23)/L2)*100</f>
        <v>38.1666666666667</v>
      </c>
      <c r="N23" s="170">
        <v>0.0949</v>
      </c>
      <c r="O23" s="170">
        <v>0.145</v>
      </c>
      <c r="P23" s="170" cm="1">
        <f t="array" ref="P23">O23-N23</f>
        <v>0.0501</v>
      </c>
      <c r="Q23" s="171" cm="1">
        <f t="array" ref="Q23">((P2-P23)/P2)*100</f>
        <v>49.9</v>
      </c>
      <c r="R23" s="171" cm="1">
        <f t="array" ref="R23">AVERAGE(E23,I23,M23,Q23)</f>
        <v>63.0307090709071</v>
      </c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3"/>
    </row>
    <row r="24" ht="13.65" customHeight="1">
      <c r="A24" t="s" s="169">
        <v>140</v>
      </c>
      <c r="B24" s="170">
        <v>3.58e-05</v>
      </c>
      <c r="C24" s="170">
        <v>0.000205</v>
      </c>
      <c r="D24" s="170" cm="1">
        <f t="array" ref="D24">C24-B24</f>
        <v>0.0001692</v>
      </c>
      <c r="E24" s="171" cm="1">
        <f t="array" ref="E24">((D2-D24)/D2)*100</f>
        <v>77.44</v>
      </c>
      <c r="F24" s="170">
        <v>7.48e-07</v>
      </c>
      <c r="G24" s="170">
        <v>0.00108</v>
      </c>
      <c r="H24" s="170" cm="1">
        <f t="array" ref="H24">G24-F24</f>
        <v>0.001079252</v>
      </c>
      <c r="I24" s="171" cm="1">
        <f t="array" ref="I24">((H2-H24)/H2)*100</f>
        <v>89.206400640064</v>
      </c>
      <c r="J24" s="170">
        <v>0.0945</v>
      </c>
      <c r="K24" s="170">
        <v>0.266</v>
      </c>
      <c r="L24" s="170" cm="1">
        <f t="array" ref="L24">K24-J24</f>
        <v>0.1715</v>
      </c>
      <c r="M24" s="171" cm="1">
        <f t="array" ref="M24">((L2-L24)/L2)*100</f>
        <v>42.8333333333333</v>
      </c>
      <c r="N24" s="170">
        <v>0.0968</v>
      </c>
      <c r="O24" s="170">
        <v>0.144</v>
      </c>
      <c r="P24" s="170" cm="1">
        <f t="array" ref="P24">O24-N24</f>
        <v>0.0472</v>
      </c>
      <c r="Q24" s="171" cm="1">
        <f t="array" ref="Q24">((P2-P24)/P2)*100</f>
        <v>52.8</v>
      </c>
      <c r="R24" s="171" cm="1">
        <f t="array" ref="R24">AVERAGE(E24,I24,M24,Q24)</f>
        <v>65.5699334933493</v>
      </c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3"/>
    </row>
    <row r="25" ht="13.65" customHeight="1">
      <c r="A25" t="s" s="169">
        <v>141</v>
      </c>
      <c r="B25" s="170">
        <v>4.7e-05</v>
      </c>
      <c r="C25" s="170">
        <v>0.000483</v>
      </c>
      <c r="D25" s="170" cm="1">
        <f t="array" ref="D25">C25-B25</f>
        <v>0.000436</v>
      </c>
      <c r="E25" s="171" cm="1">
        <f t="array" ref="E25">((D2-D25)/D2)*100</f>
        <v>41.8666666666667</v>
      </c>
      <c r="F25" s="170">
        <v>2.21e-06</v>
      </c>
      <c r="G25" s="170">
        <v>0.00082</v>
      </c>
      <c r="H25" s="170" cm="1">
        <f t="array" ref="H25">G25-F25</f>
        <v>0.00081779</v>
      </c>
      <c r="I25" s="171" cm="1">
        <f t="array" ref="I25">((H2-H25)/H2)*100</f>
        <v>91.8212821282128</v>
      </c>
      <c r="J25" s="170">
        <v>0.09710000000000001</v>
      </c>
      <c r="K25" s="170">
        <v>0.275</v>
      </c>
      <c r="L25" s="170" cm="1">
        <f t="array" ref="L25">K25-J25</f>
        <v>0.1779</v>
      </c>
      <c r="M25" s="171" cm="1">
        <f t="array" ref="M25">((L2-L25)/L2)*100</f>
        <v>40.7</v>
      </c>
      <c r="N25" s="170">
        <v>0.0993</v>
      </c>
      <c r="O25" s="170">
        <v>0.142</v>
      </c>
      <c r="P25" s="170" cm="1">
        <f t="array" ref="P25">O25-N25</f>
        <v>0.0427</v>
      </c>
      <c r="Q25" s="171" cm="1">
        <f t="array" ref="Q25">((P2-P25)/P2)*100</f>
        <v>57.3</v>
      </c>
      <c r="R25" s="171" cm="1">
        <f t="array" ref="R25">AVERAGE(E25,I25,M25,Q25)</f>
        <v>57.9219871987199</v>
      </c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3"/>
    </row>
    <row r="26" ht="13.65" customHeight="1">
      <c r="A26" t="s" s="169">
        <v>142</v>
      </c>
      <c r="B26" s="170">
        <v>2.88e-05</v>
      </c>
      <c r="C26" s="170">
        <v>0.0006579999999999999</v>
      </c>
      <c r="D26" s="170" cm="1">
        <f t="array" ref="D26">C26-B26</f>
        <v>0.0006292</v>
      </c>
      <c r="E26" s="171" cm="1">
        <f t="array" ref="E26">((D2-D26)/D2)*100</f>
        <v>16.1066666666667</v>
      </c>
      <c r="F26" s="170">
        <v>0.00011</v>
      </c>
      <c r="G26" s="170">
        <v>0.00129</v>
      </c>
      <c r="H26" s="170" cm="1">
        <f t="array" ref="H26">G26-F26</f>
        <v>0.00118</v>
      </c>
      <c r="I26" s="171" cm="1">
        <f t="array" ref="I26">((H2-H26)/H2)*100</f>
        <v>88.1988198819882</v>
      </c>
      <c r="J26" s="170">
        <v>0.143</v>
      </c>
      <c r="K26" s="170">
        <v>0.342</v>
      </c>
      <c r="L26" s="170" cm="1">
        <f t="array" ref="L26">K26-J26</f>
        <v>0.199</v>
      </c>
      <c r="M26" s="171" cm="1">
        <f t="array" ref="M26">((L2-L26)/L2)*100</f>
        <v>33.6666666666667</v>
      </c>
      <c r="N26" s="170">
        <v>0.0999</v>
      </c>
      <c r="O26" s="170">
        <v>0.141</v>
      </c>
      <c r="P26" s="170" cm="1">
        <f t="array" ref="P26">O26-N26</f>
        <v>0.0411</v>
      </c>
      <c r="Q26" s="171" cm="1">
        <f t="array" ref="Q26">((P2-P26)/P2)*100</f>
        <v>58.9</v>
      </c>
      <c r="R26" s="171" cm="1">
        <f t="array" ref="R26">AVERAGE(E26,I26,M26,Q26)</f>
        <v>49.2180383038304</v>
      </c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3"/>
    </row>
    <row r="27" ht="13.65" customHeight="1">
      <c r="A27" t="s" s="169">
        <v>143</v>
      </c>
      <c r="B27" s="170">
        <v>2.66e-05</v>
      </c>
      <c r="C27" s="170">
        <v>0.000743</v>
      </c>
      <c r="D27" s="170" cm="1">
        <f t="array" ref="D27">C27-B27</f>
        <v>0.0007164</v>
      </c>
      <c r="E27" s="171" cm="1">
        <f t="array" ref="E27">((D2-D27)/D2)*100</f>
        <v>4.48</v>
      </c>
      <c r="F27" s="170">
        <v>1.53e-05</v>
      </c>
      <c r="G27" s="170">
        <v>0.00136</v>
      </c>
      <c r="H27" s="170" cm="1">
        <f t="array" ref="H27">G27-F27</f>
        <v>0.0013447</v>
      </c>
      <c r="I27" s="171" cm="1">
        <f t="array" ref="I27">((H2-H27)/H2)*100</f>
        <v>86.55165516551661</v>
      </c>
      <c r="J27" s="170">
        <v>0.124</v>
      </c>
      <c r="K27" s="170">
        <v>0.314</v>
      </c>
      <c r="L27" s="170" cm="1">
        <f t="array" ref="L27">K27-J27</f>
        <v>0.19</v>
      </c>
      <c r="M27" s="171" cm="1">
        <f t="array" ref="M27">((L2-L27)/L2)*100</f>
        <v>36.6666666666667</v>
      </c>
      <c r="N27" s="170">
        <v>0.0953</v>
      </c>
      <c r="O27" s="170">
        <v>0.149</v>
      </c>
      <c r="P27" s="170" cm="1">
        <f t="array" ref="P27">O27-N27</f>
        <v>0.0537</v>
      </c>
      <c r="Q27" s="171" cm="1">
        <f t="array" ref="Q27">((P2-P27)/P2)*100</f>
        <v>46.3</v>
      </c>
      <c r="R27" s="171" cm="1">
        <f t="array" ref="R27">AVERAGE(E27,I27,M27,Q27)</f>
        <v>43.4995804580458</v>
      </c>
      <c r="S27" s="172"/>
      <c r="T27" s="172"/>
      <c r="U27" s="172"/>
      <c r="V27" s="172"/>
      <c r="W27" s="172"/>
      <c r="X27" s="172"/>
      <c r="Y27" s="170"/>
      <c r="Z27" s="170"/>
      <c r="AA27" s="170"/>
      <c r="AB27" s="170"/>
      <c r="AC27" s="172"/>
      <c r="AD27" s="172"/>
      <c r="AE27" s="172"/>
      <c r="AF27" s="170"/>
      <c r="AG27" s="170"/>
      <c r="AH27" s="170"/>
      <c r="AI27" s="170"/>
      <c r="AJ27" s="170"/>
      <c r="AK27" s="172"/>
      <c r="AL27" s="172"/>
      <c r="AM27" s="173"/>
    </row>
    <row r="28" ht="13.6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ht="13.6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</row>
    <row r="30" ht="13.6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</row>
    <row r="31" ht="13.65" customHeight="1">
      <c r="A31" s="33"/>
      <c r="B31" s="40"/>
      <c r="C31" s="40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</row>
    <row r="32" ht="15" customHeight="1">
      <c r="A32" s="70"/>
      <c r="B32" s="175"/>
      <c r="C32" s="175"/>
      <c r="D32" s="32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</row>
    <row r="33" ht="15" customHeight="1">
      <c r="A33" s="70"/>
      <c r="B33" s="175"/>
      <c r="C33" s="175"/>
      <c r="D33" s="32"/>
      <c r="E33" s="33"/>
      <c r="F33" s="33"/>
      <c r="G33" s="33"/>
      <c r="H33" s="33"/>
      <c r="I33" s="33"/>
      <c r="J33" s="33"/>
      <c r="K33" t="s" s="3">
        <v>144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</row>
    <row r="34" ht="13.65" customHeight="1">
      <c r="A34" s="33"/>
      <c r="B34" s="25"/>
      <c r="C34" s="25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 ht="13.6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 ht="13.6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</row>
    <row r="37" ht="13.65" customHeight="1">
      <c r="A37" s="33"/>
      <c r="B37" t="s" s="3">
        <v>145</v>
      </c>
      <c r="C37" t="s" s="3">
        <v>146</v>
      </c>
      <c r="D37" t="s" s="3">
        <v>147</v>
      </c>
      <c r="E37" s="33"/>
      <c r="F37" t="s" s="3">
        <v>148</v>
      </c>
      <c r="G37" t="s" s="3">
        <v>149</v>
      </c>
      <c r="H37" s="33"/>
      <c r="I37" s="33"/>
      <c r="J37" t="s" s="3">
        <v>150</v>
      </c>
      <c r="K37" t="s" s="3">
        <v>151</v>
      </c>
      <c r="L37" t="s" s="3">
        <v>152</v>
      </c>
      <c r="M37" s="33"/>
      <c r="N37" t="s" s="3">
        <v>153</v>
      </c>
      <c r="O37" t="s" s="3">
        <v>154</v>
      </c>
      <c r="P37" t="s" s="3">
        <v>155</v>
      </c>
      <c r="Q37" t="s" s="3">
        <v>156</v>
      </c>
      <c r="R37" t="s" s="3">
        <v>157</v>
      </c>
      <c r="S37" t="s" s="3">
        <v>158</v>
      </c>
      <c r="T37" s="27"/>
      <c r="U37" s="27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</row>
    <row r="38" ht="13.65" customHeight="1">
      <c r="A38" t="s" s="3">
        <v>37</v>
      </c>
      <c r="B38" t="s" s="3">
        <v>159</v>
      </c>
      <c r="C38" t="s" s="3">
        <v>160</v>
      </c>
      <c r="D38" s="120">
        <v>0.1611</v>
      </c>
      <c r="E38" s="120"/>
      <c r="F38" t="s" s="3">
        <v>161</v>
      </c>
      <c r="G38" s="176">
        <v>0.5</v>
      </c>
      <c r="H38" s="176"/>
      <c r="I38" s="176"/>
      <c r="J38" t="s" s="3">
        <v>162</v>
      </c>
      <c r="K38" t="s" s="3">
        <v>163</v>
      </c>
      <c r="L38" s="120">
        <v>0.8819</v>
      </c>
      <c r="M38" s="120"/>
      <c r="N38" t="s" s="3">
        <v>164</v>
      </c>
      <c r="O38" t="s" s="3">
        <v>165</v>
      </c>
      <c r="P38" s="120">
        <v>0.589</v>
      </c>
      <c r="Q38" t="s" s="3">
        <v>166</v>
      </c>
      <c r="R38" t="s" s="3">
        <v>167</v>
      </c>
      <c r="S38" s="120">
        <v>0.191</v>
      </c>
      <c r="T38" s="27"/>
      <c r="U38" s="27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ht="13.65" customHeight="1">
      <c r="A39" t="s" s="3">
        <v>38</v>
      </c>
      <c r="B39" t="s" s="3">
        <v>168</v>
      </c>
      <c r="C39" t="s" s="3">
        <v>160</v>
      </c>
      <c r="D39" s="120">
        <v>0.0448</v>
      </c>
      <c r="E39" s="120"/>
      <c r="F39" t="s" s="3">
        <v>161</v>
      </c>
      <c r="G39" s="176">
        <v>0.5</v>
      </c>
      <c r="H39" s="176"/>
      <c r="I39" s="176"/>
      <c r="J39" t="s" s="3">
        <v>169</v>
      </c>
      <c r="K39" t="s" s="3">
        <v>163</v>
      </c>
      <c r="L39" s="120">
        <v>0.8655</v>
      </c>
      <c r="M39" s="120"/>
      <c r="N39" t="s" s="3">
        <v>170</v>
      </c>
      <c r="O39" t="s" s="3">
        <v>165</v>
      </c>
      <c r="P39" s="120">
        <v>0.463</v>
      </c>
      <c r="Q39" t="s" s="3">
        <v>171</v>
      </c>
      <c r="R39" t="s" s="3">
        <v>167</v>
      </c>
      <c r="S39" s="120">
        <v>0.229</v>
      </c>
      <c r="T39" s="27"/>
      <c r="U39" s="27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</row>
    <row r="40" ht="13.65" customHeight="1">
      <c r="A40" s="33"/>
      <c r="B40" s="33"/>
      <c r="C40" s="40"/>
      <c r="D40" s="33"/>
      <c r="E40" s="33"/>
      <c r="F40" s="33"/>
      <c r="G40" s="33"/>
      <c r="H40" s="33"/>
      <c r="I40" s="33"/>
      <c r="J40" s="33"/>
      <c r="K40" s="40"/>
      <c r="L40" s="33"/>
      <c r="M40" s="33"/>
      <c r="N40" s="33"/>
      <c r="O40" s="40"/>
      <c r="P40" s="33"/>
      <c r="Q40" s="33"/>
      <c r="R40" s="40"/>
      <c r="S40" s="27"/>
      <c r="T40" s="27"/>
      <c r="U40" s="27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ht="13.65" customHeight="1">
      <c r="A41" s="33"/>
      <c r="B41" s="70"/>
      <c r="C41" t="s" s="177">
        <v>172</v>
      </c>
      <c r="D41" s="32"/>
      <c r="E41" s="33"/>
      <c r="F41" s="33"/>
      <c r="G41" s="33"/>
      <c r="H41" s="33"/>
      <c r="I41" s="33"/>
      <c r="J41" s="70"/>
      <c r="K41" t="s" s="177">
        <v>163</v>
      </c>
      <c r="L41" s="32"/>
      <c r="M41" s="33"/>
      <c r="N41" s="70"/>
      <c r="O41" t="s" s="177">
        <v>173</v>
      </c>
      <c r="P41" s="32"/>
      <c r="Q41" s="70"/>
      <c r="R41" t="s" s="177">
        <v>174</v>
      </c>
      <c r="S41" s="3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C1000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178" customWidth="1"/>
    <col min="4" max="4" width="36.3516" style="178" customWidth="1"/>
    <col min="5" max="6" width="12.6719" style="178" customWidth="1"/>
    <col min="7" max="7" width="24.1719" style="178" customWidth="1"/>
    <col min="8" max="11" width="12.6719" style="178" customWidth="1"/>
    <col min="12" max="12" width="16.1719" style="178" customWidth="1"/>
    <col min="13" max="29" width="12.6719" style="178" customWidth="1"/>
    <col min="30" max="16384" width="12.6719" style="178" customWidth="1"/>
  </cols>
  <sheetData>
    <row r="1" ht="13.65" customHeight="1">
      <c r="A1" t="s" s="3">
        <v>175</v>
      </c>
      <c r="B1" t="s" s="3">
        <v>176</v>
      </c>
      <c r="C1" t="s" s="3">
        <v>177</v>
      </c>
      <c r="D1" t="s" s="3">
        <v>178</v>
      </c>
      <c r="E1" t="s" s="3">
        <v>179</v>
      </c>
      <c r="F1" t="s" s="3">
        <v>180</v>
      </c>
      <c r="G1" t="s" s="3">
        <v>181</v>
      </c>
      <c r="H1" t="s" s="3">
        <v>182</v>
      </c>
      <c r="I1" t="s" s="3">
        <v>183</v>
      </c>
      <c r="J1" s="33"/>
      <c r="K1" s="33"/>
      <c r="L1" t="s" s="3">
        <v>184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ht="13.65" customHeight="1">
      <c r="A2" s="62">
        <v>1</v>
      </c>
      <c r="B2" t="s" s="3">
        <v>185</v>
      </c>
      <c r="C2" t="s" s="3">
        <v>186</v>
      </c>
      <c r="D2" t="s" s="3">
        <v>187</v>
      </c>
      <c r="E2" s="179" cm="1">
        <f t="array" ref="E2">(3577-765)/3577</f>
        <v>0.786133631534806</v>
      </c>
      <c r="F2" t="s" s="3">
        <v>188</v>
      </c>
      <c r="G2" t="s" s="3">
        <v>189</v>
      </c>
      <c r="H2" t="s" s="3">
        <v>190</v>
      </c>
      <c r="I2" s="62">
        <v>3.48337654272715</v>
      </c>
      <c r="J2" s="62" cm="1">
        <f t="array" ref="J2">ROUND(I2,3)</f>
        <v>3.483</v>
      </c>
      <c r="K2" s="179" cm="1">
        <f t="array" ref="K2">(I3-I2)/I3</f>
        <v>0.784843979168555</v>
      </c>
      <c r="L2" t="s" s="3">
        <v>191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ht="13.65" customHeight="1">
      <c r="A3" s="62">
        <v>2</v>
      </c>
      <c r="B3" t="s" s="3">
        <v>192</v>
      </c>
      <c r="C3" t="s" s="3">
        <v>193</v>
      </c>
      <c r="D3" t="s" s="3">
        <v>194</v>
      </c>
      <c r="E3" s="33"/>
      <c r="F3" s="33"/>
      <c r="G3" s="33"/>
      <c r="H3" t="s" s="3">
        <v>195</v>
      </c>
      <c r="I3" s="62">
        <v>16.1900026281675</v>
      </c>
      <c r="J3" s="62" cm="1">
        <f t="array" ref="J3">ROUND(I3,3)</f>
        <v>16.19</v>
      </c>
      <c r="K3" s="33"/>
      <c r="L3" t="s" s="3">
        <v>196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ht="13.65" customHeight="1">
      <c r="A4" s="62">
        <v>3</v>
      </c>
      <c r="B4" t="s" s="3">
        <v>197</v>
      </c>
      <c r="C4" t="s" s="3">
        <v>186</v>
      </c>
      <c r="D4" t="s" s="3">
        <v>198</v>
      </c>
      <c r="E4" s="179" cm="1">
        <f t="array" ref="E4">(2513-430)/2513</f>
        <v>0.828889773179467</v>
      </c>
      <c r="F4" t="s" s="3">
        <v>188</v>
      </c>
      <c r="G4" t="s" s="3">
        <v>199</v>
      </c>
      <c r="H4" t="s" s="3">
        <v>200</v>
      </c>
      <c r="I4" s="62">
        <v>1.80179245471954</v>
      </c>
      <c r="J4" s="62" cm="1">
        <f t="array" ref="J4">ROUND(I4,3)</f>
        <v>1.802</v>
      </c>
      <c r="K4" s="179" cm="1">
        <f t="array" ref="K4">(I5-I4)/I5</f>
        <v>0.833041387741284</v>
      </c>
      <c r="L4" t="s" s="3">
        <v>201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13.65" customHeight="1">
      <c r="A5" s="62">
        <v>4</v>
      </c>
      <c r="B5" t="s" s="3">
        <v>202</v>
      </c>
      <c r="C5" t="s" s="3">
        <v>193</v>
      </c>
      <c r="D5" t="s" s="3">
        <v>203</v>
      </c>
      <c r="E5" s="33"/>
      <c r="F5" s="33"/>
      <c r="G5" s="33"/>
      <c r="H5" t="s" s="3">
        <v>204</v>
      </c>
      <c r="I5" s="62">
        <v>10.7918509284655</v>
      </c>
      <c r="J5" s="62" cm="1">
        <f t="array" ref="J5">ROUND(I5,3)</f>
        <v>10.792</v>
      </c>
      <c r="K5" s="33"/>
      <c r="L5" t="s" s="3">
        <v>205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13.65" customHeight="1">
      <c r="A6" s="62">
        <v>5</v>
      </c>
      <c r="B6" t="s" s="3">
        <v>206</v>
      </c>
      <c r="C6" t="s" s="3">
        <v>186</v>
      </c>
      <c r="D6" t="s" s="3">
        <v>207</v>
      </c>
      <c r="E6" s="179" cm="1">
        <f t="array" ref="E6">(2506-505)/2506</f>
        <v>0.798483639265762</v>
      </c>
      <c r="F6" t="s" s="3">
        <v>188</v>
      </c>
      <c r="G6" t="s" s="3">
        <v>49</v>
      </c>
      <c r="H6" t="s" s="3">
        <v>208</v>
      </c>
      <c r="I6" s="62">
        <v>6.0080166220665</v>
      </c>
      <c r="J6" s="62" cm="1">
        <f t="array" ref="J6">ROUND(I6,3)</f>
        <v>6.008</v>
      </c>
      <c r="K6" s="179" cm="1">
        <f t="array" ref="K6">(I7-I6)/I7</f>
        <v>0.787405925763302</v>
      </c>
      <c r="L6" t="s" s="3">
        <v>209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13.65" customHeight="1">
      <c r="A7" s="62">
        <v>6</v>
      </c>
      <c r="B7" t="s" s="3">
        <v>210</v>
      </c>
      <c r="C7" t="s" s="3">
        <v>193</v>
      </c>
      <c r="D7" t="s" s="3">
        <v>211</v>
      </c>
      <c r="E7" s="33"/>
      <c r="F7" s="33"/>
      <c r="G7" s="33"/>
      <c r="H7" t="s" s="3">
        <v>212</v>
      </c>
      <c r="I7" s="62">
        <v>28.2605084061623</v>
      </c>
      <c r="J7" s="62" cm="1">
        <f t="array" ref="J7">ROUND(I7,3)</f>
        <v>28.261</v>
      </c>
      <c r="K7" s="33"/>
      <c r="L7" t="s" s="3">
        <v>213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13.65" customHeight="1">
      <c r="A8" s="62">
        <v>7</v>
      </c>
      <c r="B8" t="s" s="3">
        <v>214</v>
      </c>
      <c r="C8" t="s" s="3">
        <v>186</v>
      </c>
      <c r="D8" t="s" s="3">
        <v>215</v>
      </c>
      <c r="E8" s="179" cm="1">
        <f t="array" ref="E8">(2073-1095)/2073</f>
        <v>0.47178002894356</v>
      </c>
      <c r="F8" t="s" s="3">
        <v>188</v>
      </c>
      <c r="G8" t="s" s="3">
        <v>84</v>
      </c>
      <c r="H8" t="s" s="3">
        <v>216</v>
      </c>
      <c r="I8" s="62">
        <v>10.7588605602582</v>
      </c>
      <c r="J8" s="62" cm="1">
        <f t="array" ref="J8">ROUND(I8,3)</f>
        <v>10.759</v>
      </c>
      <c r="K8" s="179" cm="1">
        <f t="array" ref="K8">(I9-I8)/I9</f>
        <v>0.464614874960872</v>
      </c>
      <c r="L8" t="s" s="3">
        <v>217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13.65" customHeight="1">
      <c r="A9" s="62">
        <v>8</v>
      </c>
      <c r="B9" t="s" s="3">
        <v>218</v>
      </c>
      <c r="C9" t="s" s="3">
        <v>193</v>
      </c>
      <c r="D9" t="s" s="3">
        <v>219</v>
      </c>
      <c r="E9" s="33"/>
      <c r="F9" s="33"/>
      <c r="G9" s="33"/>
      <c r="H9" t="s" s="3">
        <v>220</v>
      </c>
      <c r="I9" s="62">
        <v>20.0955537557602</v>
      </c>
      <c r="J9" s="62" cm="1">
        <f t="array" ref="J9">ROUND(I9,3)</f>
        <v>20.096</v>
      </c>
      <c r="K9" s="33"/>
      <c r="L9" t="s" s="3">
        <v>221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13.65" customHeight="1">
      <c r="A10" s="62">
        <v>9</v>
      </c>
      <c r="B10" t="s" s="3">
        <v>222</v>
      </c>
      <c r="C10" t="s" s="3">
        <v>186</v>
      </c>
      <c r="D10" t="s" s="3">
        <v>223</v>
      </c>
      <c r="E10" s="179" cm="1">
        <f t="array" ref="E10">(1109-892)/1109</f>
        <v>0.195671776375113</v>
      </c>
      <c r="F10" t="s" s="3">
        <v>224</v>
      </c>
      <c r="G10" t="s" s="3">
        <v>94</v>
      </c>
      <c r="H10" t="s" s="3">
        <v>225</v>
      </c>
      <c r="I10" s="62">
        <v>2.15287275314331</v>
      </c>
      <c r="J10" s="62" cm="1">
        <f t="array" ref="J10">ROUND(I10,3)</f>
        <v>2.153</v>
      </c>
      <c r="K10" s="179" cm="1">
        <f t="array" ref="K10">(I11-I10)/I11</f>
        <v>0.16393541951711</v>
      </c>
      <c r="L10" t="s" s="3">
        <v>226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13.65" customHeight="1">
      <c r="A11" s="62">
        <v>10</v>
      </c>
      <c r="B11" t="s" s="3">
        <v>227</v>
      </c>
      <c r="C11" t="s" s="3">
        <v>193</v>
      </c>
      <c r="D11" t="s" s="3">
        <v>228</v>
      </c>
      <c r="E11" s="40"/>
      <c r="F11" s="33"/>
      <c r="G11" s="33"/>
      <c r="H11" t="s" s="3">
        <v>229</v>
      </c>
      <c r="I11" s="62">
        <v>2.57500772476196</v>
      </c>
      <c r="J11" s="62" cm="1">
        <f t="array" ref="J11">ROUND(I11,3)</f>
        <v>2.575</v>
      </c>
      <c r="K11" s="40"/>
      <c r="L11" t="s" s="3">
        <v>230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13.65" customHeight="1">
      <c r="A12" s="33"/>
      <c r="B12" s="33"/>
      <c r="C12" s="33"/>
      <c r="D12" s="70"/>
      <c r="E12" s="180" cm="1">
        <f t="array" ref="E12">AVERAGE(E2:E11)</f>
        <v>0.616191769859742</v>
      </c>
      <c r="F12" s="32"/>
      <c r="G12" s="33"/>
      <c r="H12" s="33"/>
      <c r="I12" s="33"/>
      <c r="J12" s="70"/>
      <c r="K12" s="180" cm="1">
        <f t="array" ref="K12">AVERAGE(K2:K11)</f>
        <v>0.606768317430225</v>
      </c>
      <c r="L12" s="32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13.65" customHeight="1">
      <c r="A13" s="33"/>
      <c r="B13" s="33"/>
      <c r="C13" s="33"/>
      <c r="D13" s="33"/>
      <c r="E13" s="25"/>
      <c r="F13" s="33"/>
      <c r="G13" s="33"/>
      <c r="H13" s="33"/>
      <c r="I13" s="33"/>
      <c r="J13" s="33"/>
      <c r="K13" s="25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13.6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13.6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13.65" customHeight="1">
      <c r="A16" s="33"/>
      <c r="B16" s="33"/>
      <c r="C16" s="33"/>
      <c r="D16" s="33"/>
      <c r="E16" s="33"/>
      <c r="F16" s="120" cm="1">
        <f t="array" ref="F16">(100%-E12)</f>
        <v>0.383808230140258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13.6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13.6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13.6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13.6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13.6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13.6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13.6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13.6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13.6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13.6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13.6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13.6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13.6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13.6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13.6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13.6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13.6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13.6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13.6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13.6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13.6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13.6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13.6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13.6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13.6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13.6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13.6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13.6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13.6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13.6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13.6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13.6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3.6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13.6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13.6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13.6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13.6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13.6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3.6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13.6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13.6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13.6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13.6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13.6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13.6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13.6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13.6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13.6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13.6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13.6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13.6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13.6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13.6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13.6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13.6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13.6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3.6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13.6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13.6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13.6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13.6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13.6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13.6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13.6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13.6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13.6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13.6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13.6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13.6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13.6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13.6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13.6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13.6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13.6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13.6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13.6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13.6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13.6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13.6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13.6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13.6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13.6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13.6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13.6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13.6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13.6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13.6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13.6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13.6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13.6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13.6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13.6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13.6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13.6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13.6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13.6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13.6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13.6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ht="13.6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13.6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13.6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13.6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13.6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13.6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ht="13.6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13.6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13.6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13.6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ht="13.6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13.6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13.6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13.6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13.6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13.6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13.6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13.6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13.6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13.6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13.6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13.6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13.6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ht="13.6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13.6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13.6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13.6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13.6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13.6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13.6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13.6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13.6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13.6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13.6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13.6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13.6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13.6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13.6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13.6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13.6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13.6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13.6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13.6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13.6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13.6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13.6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13.6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13.6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13.6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13.6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ht="13.6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13.6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13.6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13.6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13.6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13.6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13.6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13.6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13.6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13.6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13.6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13.6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13.6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13.6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13.6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13.6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13.6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13.6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13.6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13.6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13.6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13.6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13.6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13.6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13.6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13.6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13.6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13.6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13.6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ht="13.6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13.6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13.6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13.6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13.6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13.6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13.6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13.6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13.6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13.6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13.6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13.6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13.6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13.6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13.6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13.6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13.6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13.6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13.6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13.6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13.6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13.6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13.6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13.6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13.6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13.6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13.6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13.6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ht="13.6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ht="13.6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ht="13.6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ht="13.6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ht="13.6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ht="13.6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ht="13.6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ht="13.6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ht="13.6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ht="13.6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ht="13.6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ht="13.6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ht="13.6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ht="13.6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ht="13.6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ht="13.6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ht="13.6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ht="13.6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ht="13.6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ht="13.6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ht="13.6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ht="13.6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ht="13.6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ht="13.6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ht="13.6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ht="13.6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ht="13.6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ht="13.6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ht="13.6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ht="13.6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ht="13.6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ht="13.6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ht="13.6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ht="13.6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ht="13.6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ht="13.6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ht="13.6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ht="13.6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ht="13.6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ht="13.6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ht="13.6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ht="13.6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ht="13.6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ht="13.6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ht="13.6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ht="13.6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ht="13.6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ht="13.6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ht="13.6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ht="13.6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ht="13.6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ht="13.6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ht="13.6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ht="13.6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ht="13.6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ht="13.6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ht="13.6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ht="13.6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ht="13.6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ht="13.6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ht="13.6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ht="13.6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ht="13.6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ht="13.6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ht="13.6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ht="13.6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ht="13.6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ht="13.6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ht="13.6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ht="13.6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ht="13.6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ht="13.6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ht="13.6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ht="13.6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ht="13.6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ht="13.6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ht="13.6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ht="13.6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ht="13.6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ht="13.6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ht="13.6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ht="13.6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ht="13.6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ht="13.6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ht="13.6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ht="13.6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ht="13.6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ht="13.6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ht="13.6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ht="13.6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ht="13.6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ht="13.6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ht="13.6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ht="13.6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ht="13.6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ht="13.6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ht="13.6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ht="13.6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ht="13.6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ht="13.6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ht="13.6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ht="13.6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ht="13.6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ht="13.6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ht="13.6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ht="13.6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ht="13.6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ht="13.6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ht="13.6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ht="13.6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ht="13.6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ht="13.6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ht="13.6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ht="13.6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ht="13.6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ht="13.6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ht="13.6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ht="13.6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ht="13.6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ht="13.6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ht="13.6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ht="13.6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ht="13.6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ht="13.6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ht="13.6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ht="13.6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ht="13.6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ht="13.6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ht="13.6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ht="13.6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ht="13.6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ht="13.6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ht="13.6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ht="13.6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ht="13.6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ht="13.6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ht="13.6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ht="13.6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ht="13.6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ht="13.6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ht="13.6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ht="13.6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ht="13.6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ht="13.6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ht="13.6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ht="13.6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ht="13.6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ht="13.6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ht="13.6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ht="13.6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ht="13.6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ht="13.6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ht="13.6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ht="13.6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ht="13.6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ht="13.6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ht="13.6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ht="13.6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ht="13.6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ht="13.6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ht="13.6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ht="13.6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ht="13.6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ht="13.6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ht="13.6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ht="13.6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ht="13.6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ht="13.6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ht="13.6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ht="13.6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ht="13.6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ht="13.6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ht="13.6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ht="13.6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ht="13.6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ht="13.6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ht="13.6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ht="13.6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ht="13.6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ht="13.6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ht="13.6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ht="13.6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ht="13.6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ht="13.6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ht="13.6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ht="13.6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ht="13.6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ht="13.6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ht="13.6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ht="13.6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ht="13.6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ht="13.6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ht="13.6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ht="13.6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ht="13.6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ht="13.6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ht="13.6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ht="13.6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ht="13.6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ht="13.6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ht="13.6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ht="13.6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ht="13.6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ht="13.6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ht="13.6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ht="13.6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ht="13.6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ht="13.6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ht="13.6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ht="13.6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ht="13.6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ht="13.6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ht="13.6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ht="13.6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ht="13.6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ht="13.6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ht="13.6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ht="13.6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ht="13.6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ht="13.6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ht="13.6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ht="13.6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ht="13.6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ht="13.6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ht="13.6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ht="13.6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ht="13.6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ht="13.6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ht="13.6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ht="13.6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ht="13.6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ht="13.6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ht="13.6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ht="13.6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ht="13.6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ht="13.6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ht="13.6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ht="13.6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ht="13.6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ht="13.6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ht="13.6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ht="13.6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ht="13.6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ht="13.6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ht="13.6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ht="13.6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ht="13.6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ht="13.6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ht="13.6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ht="13.6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ht="13.6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ht="13.6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ht="13.6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ht="13.6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ht="13.6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ht="13.6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ht="13.6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ht="13.6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ht="13.6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ht="13.6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ht="13.6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ht="13.6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ht="13.6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ht="13.6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ht="13.6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ht="13.6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ht="13.6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ht="13.6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ht="13.6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ht="13.6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ht="13.6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ht="13.6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ht="13.6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ht="13.6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ht="13.6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ht="13.6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ht="13.6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ht="13.6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ht="13.6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ht="13.6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ht="13.6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ht="13.6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ht="13.6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ht="13.6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ht="13.6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ht="13.6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ht="13.6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ht="13.6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ht="13.6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ht="13.6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ht="13.6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ht="13.6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ht="13.6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ht="13.6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ht="13.6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ht="13.6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ht="13.6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ht="13.6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ht="13.6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ht="13.6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ht="13.6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ht="13.6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ht="13.6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ht="13.6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ht="13.6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ht="13.6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ht="13.6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ht="13.6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ht="13.6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ht="13.6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ht="13.6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ht="13.6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ht="13.6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ht="13.6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ht="13.6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ht="13.6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ht="13.6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ht="13.6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ht="13.6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ht="13.6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ht="13.6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ht="13.6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ht="13.6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ht="13.6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ht="13.6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ht="13.6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ht="13.6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ht="13.6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ht="13.6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ht="13.6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ht="13.6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ht="13.6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ht="13.6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ht="13.6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ht="13.6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ht="13.6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ht="13.6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ht="13.6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ht="13.6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ht="13.6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ht="13.6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ht="13.6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ht="13.6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ht="13.6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ht="13.6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ht="13.6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ht="13.6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ht="13.6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ht="13.6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ht="13.6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ht="13.6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ht="13.6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ht="13.6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ht="13.6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ht="13.6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ht="13.6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ht="13.6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ht="13.6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ht="13.6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ht="13.6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ht="13.6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ht="13.6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ht="13.6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ht="13.6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ht="13.6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ht="13.6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ht="13.6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ht="13.6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ht="13.6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ht="13.6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ht="13.6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ht="13.6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ht="13.6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ht="13.6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ht="13.6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ht="13.6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ht="13.6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ht="13.6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ht="13.6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ht="13.6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ht="13.6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ht="13.6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ht="13.6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ht="13.6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ht="13.6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ht="13.6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ht="13.6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ht="13.6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ht="13.6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ht="13.6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ht="13.6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ht="13.6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ht="13.6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ht="13.6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ht="13.6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ht="13.6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ht="13.6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ht="13.6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ht="13.6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ht="13.6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ht="13.6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ht="13.6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ht="13.6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ht="13.6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ht="13.6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ht="13.6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ht="13.6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ht="13.6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ht="13.6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ht="13.6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ht="13.6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ht="13.6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ht="13.6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ht="13.6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ht="13.6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ht="13.6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ht="13.6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ht="13.6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ht="13.6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ht="13.6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ht="13.6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ht="13.6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ht="13.6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ht="13.6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ht="13.6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ht="13.6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ht="13.6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ht="13.6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ht="13.6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ht="13.6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ht="13.6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ht="13.6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ht="13.6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ht="13.6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ht="13.6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ht="13.6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ht="13.6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ht="13.6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ht="13.6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ht="13.6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ht="13.6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ht="13.6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ht="13.6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ht="13.6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ht="13.6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ht="13.6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ht="13.6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ht="13.6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ht="13.6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ht="13.6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ht="13.6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ht="13.6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ht="13.6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ht="13.6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ht="13.6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ht="13.6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ht="13.6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ht="13.6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ht="13.6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ht="13.6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ht="13.6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ht="13.6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ht="13.6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ht="13.6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ht="13.6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ht="13.6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ht="13.6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ht="13.6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ht="13.6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ht="13.6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ht="13.6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ht="13.6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ht="13.6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ht="13.6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ht="13.6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ht="13.6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ht="13.6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ht="13.6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ht="13.6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ht="13.6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ht="13.6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ht="13.6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ht="13.6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ht="13.6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ht="13.6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ht="13.6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ht="13.6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ht="13.6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ht="13.6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ht="13.6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ht="13.6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ht="13.6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ht="13.6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ht="13.6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ht="13.6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ht="13.6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ht="13.6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ht="13.6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ht="13.6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ht="13.6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ht="13.6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ht="13.6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ht="13.6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ht="13.6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ht="13.6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ht="13.6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ht="13.6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ht="13.6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ht="13.6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ht="13.6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ht="13.6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ht="13.6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ht="13.6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ht="13.6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ht="13.6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ht="13.6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ht="13.6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ht="13.6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ht="13.6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ht="13.6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ht="13.6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ht="13.6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ht="13.6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ht="13.6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ht="13.6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ht="13.6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ht="13.6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ht="13.6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ht="13.6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ht="13.6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ht="13.6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ht="13.6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ht="13.6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ht="13.6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ht="13.6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ht="13.6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ht="13.6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ht="13.6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ht="13.6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ht="13.6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ht="13.6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ht="13.6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ht="13.6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ht="13.6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ht="13.6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ht="13.6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ht="13.6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ht="13.6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ht="13.6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ht="13.6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ht="13.6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ht="13.6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ht="13.6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ht="13.6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ht="13.6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ht="13.6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ht="13.6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ht="13.6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ht="13.6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ht="13.6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ht="13.6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ht="13.6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ht="13.6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ht="13.6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ht="13.6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ht="13.6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ht="13.6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ht="13.6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ht="13.6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ht="13.6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ht="13.6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ht="13.6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ht="13.6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ht="13.6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ht="13.6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ht="13.6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ht="13.6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ht="13.6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ht="13.6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ht="13.6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ht="13.6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ht="13.6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ht="13.6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ht="13.6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ht="13.6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ht="13.6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ht="13.6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ht="13.6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ht="13.6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ht="13.6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ht="13.6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ht="13.6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ht="13.6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ht="13.6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ht="13.6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ht="13.6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ht="13.6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ht="13.6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ht="13.6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ht="13.6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ht="13.6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ht="13.6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ht="13.6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ht="13.6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ht="13.6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ht="13.6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ht="13.6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ht="13.6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ht="13.6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ht="13.6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ht="13.6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ht="13.6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ht="13.6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ht="13.6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ht="13.6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ht="13.6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ht="13.6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ht="13.6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ht="13.6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ht="13.6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ht="13.6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ht="13.6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ht="13.6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ht="13.6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ht="13.6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ht="13.6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ht="13.6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ht="13.6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ht="13.6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ht="13.6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ht="13.6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ht="13.6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ht="13.6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ht="13.6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ht="13.6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ht="13.6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ht="13.6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ht="13.6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ht="13.6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ht="13.6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ht="13.6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ht="13.6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ht="13.6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ht="13.6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ht="13.6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ht="13.6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ht="13.6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ht="13.6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ht="13.6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ht="13.6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ht="13.6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ht="13.6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ht="13.6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ht="13.6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ht="13.6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ht="13.6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ht="13.6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ht="13.6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ht="13.6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ht="13.6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ht="13.6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ht="13.6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ht="13.6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ht="13.6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ht="13.6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ht="13.6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ht="13.6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ht="13.6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ht="13.6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ht="13.6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ht="13.6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ht="13.6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ht="13.6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ht="13.6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ht="13.6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ht="13.6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ht="13.6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ht="13.6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ht="13.6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ht="13.6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ht="13.6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ht="13.6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ht="13.6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ht="13.6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ht="13.6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ht="13.6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ht="13.6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ht="13.6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ht="13.6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ht="13.6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ht="13.6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ht="13.6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ht="13.6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ht="13.6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ht="13.6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ht="13.6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ht="13.6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ht="13.6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ht="13.6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ht="13.6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ht="13.6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ht="13.6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ht="13.6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ht="13.6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ht="13.6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ht="13.6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ht="13.6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ht="13.6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ht="13.6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ht="13.6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ht="13.6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ht="13.6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ht="13.6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ht="13.6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ht="13.6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ht="13.6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ht="13.6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ht="13.6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ht="13.6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ht="13.6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ht="13.6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ht="13.6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ht="13.6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ht="13.6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ht="13.6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ht="13.6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ht="13.6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ht="13.6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ht="13.6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ht="13.6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ht="13.6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ht="13.6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ht="13.6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ht="13.6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ht="13.6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ht="13.6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ht="13.6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ht="13.6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ht="13.6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ht="13.6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ht="13.6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ht="13.6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ht="13.6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ht="13.6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ht="13.6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ht="13.6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ht="13.6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ht="13.6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ht="13.6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ht="13.6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ht="13.6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ht="13.6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ht="13.6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ht="13.6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ht="13.6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ht="13.6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ht="13.6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ht="13.6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 ht="13.6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 ht="13.6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 ht="13.6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 ht="13.6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 ht="13.6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 ht="13.6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 ht="13.6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 ht="13.6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 ht="13.6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 ht="13.6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 ht="13.6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 ht="13.6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 ht="13.6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 ht="13.6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 ht="13.6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 ht="13.6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 ht="13.6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 ht="13.6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 ht="13.6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 ht="13.6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 ht="13.6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</sheetData>
  <mergeCells count="20">
    <mergeCell ref="K6:K7"/>
    <mergeCell ref="K8:K9"/>
    <mergeCell ref="K10:K11"/>
    <mergeCell ref="E2:E3"/>
    <mergeCell ref="F2:F3"/>
    <mergeCell ref="G2:G3"/>
    <mergeCell ref="K2:K3"/>
    <mergeCell ref="F4:F5"/>
    <mergeCell ref="G4:G5"/>
    <mergeCell ref="K4:K5"/>
    <mergeCell ref="E10:E11"/>
    <mergeCell ref="F10:F11"/>
    <mergeCell ref="G10:G11"/>
    <mergeCell ref="E4:E5"/>
    <mergeCell ref="E6:E7"/>
    <mergeCell ref="F6:F7"/>
    <mergeCell ref="G6:G7"/>
    <mergeCell ref="E8:E9"/>
    <mergeCell ref="F8:F9"/>
    <mergeCell ref="G8:G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12.6667" defaultRowHeight="15.75" customHeight="1" outlineLevelRow="0" outlineLevelCol="0"/>
  <cols>
    <col min="1" max="8" width="12.6719" style="181" customWidth="1"/>
    <col min="9" max="16384" width="12.6719" style="181" customWidth="1"/>
  </cols>
  <sheetData>
    <row r="1" ht="13.65" customHeight="1">
      <c r="A1" t="s" s="182">
        <v>76</v>
      </c>
      <c r="B1" t="s" s="182">
        <v>77</v>
      </c>
      <c r="C1" t="s" s="182">
        <v>78</v>
      </c>
      <c r="D1" t="s" s="182">
        <v>79</v>
      </c>
      <c r="E1" t="s" s="182">
        <v>80</v>
      </c>
      <c r="F1" t="s" s="182">
        <v>231</v>
      </c>
      <c r="G1" t="s" s="182">
        <v>82</v>
      </c>
      <c r="H1" t="s" s="182">
        <v>232</v>
      </c>
    </row>
    <row r="2" ht="13.65" customHeight="1">
      <c r="A2" t="s" s="3">
        <v>84</v>
      </c>
      <c r="B2" s="62">
        <v>0.776281</v>
      </c>
      <c r="C2" s="62">
        <v>0.78022</v>
      </c>
      <c r="D2" t="s" s="183">
        <v>233</v>
      </c>
      <c r="E2" s="62">
        <v>0.775034</v>
      </c>
      <c r="F2" s="179" cm="1">
        <f t="array" ref="F2">(B2-E2)/B2</f>
        <v>0.00160637707221998</v>
      </c>
      <c r="G2" s="62">
        <v>0.774725</v>
      </c>
      <c r="H2" s="179" cm="1">
        <f t="array" ref="H2">(C2-G2)/C2</f>
        <v>0.0070428853400323</v>
      </c>
    </row>
    <row r="3" ht="13.65" customHeight="1">
      <c r="A3" t="s" s="3">
        <v>84</v>
      </c>
      <c r="B3" s="184">
        <v>0.776281</v>
      </c>
      <c r="C3" s="62">
        <v>0.78022</v>
      </c>
      <c r="D3" t="s" s="183">
        <v>234</v>
      </c>
      <c r="E3" s="62">
        <v>0.798844</v>
      </c>
      <c r="F3" s="179" cm="1">
        <f t="array" ref="F3">(B3-E3)/B3</f>
        <v>-0.0290655059186042</v>
      </c>
      <c r="G3" s="62">
        <v>0.799451</v>
      </c>
      <c r="H3" s="179" cm="1">
        <f t="array" ref="H3">(C3-G3)/C3</f>
        <v>-0.0246481761554433</v>
      </c>
    </row>
    <row r="4" ht="13.65" customHeight="1">
      <c r="A4" t="s" s="3">
        <v>94</v>
      </c>
      <c r="B4" s="62">
        <v>0.945824</v>
      </c>
      <c r="C4" s="62">
        <v>0.94709</v>
      </c>
      <c r="D4" t="s" s="183">
        <v>235</v>
      </c>
      <c r="E4" s="62">
        <v>0.956913</v>
      </c>
      <c r="F4" s="179" cm="1">
        <f t="array" ref="F4">(B4-E4)/B4</f>
        <v>-0.0117241685556721</v>
      </c>
      <c r="G4" s="62">
        <v>0.957672</v>
      </c>
      <c r="H4" s="179" cm="1">
        <f t="array" ref="H4">(C4-G4)/C4</f>
        <v>-0.011173172560158</v>
      </c>
    </row>
    <row r="5" ht="13.65" customHeight="1">
      <c r="A5" t="s" s="3">
        <v>94</v>
      </c>
      <c r="B5" s="62">
        <v>0.945824</v>
      </c>
      <c r="C5" s="62">
        <v>0.94709</v>
      </c>
      <c r="D5" t="s" s="183">
        <v>236</v>
      </c>
      <c r="E5" s="62">
        <v>0.962275</v>
      </c>
      <c r="F5" s="179" cm="1">
        <f t="array" ref="F5">(B5-E5)/B5</f>
        <v>-0.0173932993876239</v>
      </c>
      <c r="G5" s="62">
        <v>0.962963</v>
      </c>
      <c r="H5" s="179" cm="1">
        <f t="array" ref="H5">(C5-G5)/C5</f>
        <v>-0.0167597588402369</v>
      </c>
    </row>
    <row r="6" ht="13.65" customHeight="1">
      <c r="A6" t="s" s="3">
        <v>97</v>
      </c>
      <c r="B6" s="62">
        <v>0.67438</v>
      </c>
      <c r="C6" s="62">
        <v>0.678571</v>
      </c>
      <c r="D6" t="s" s="183">
        <v>237</v>
      </c>
      <c r="E6" s="62">
        <v>0.679644</v>
      </c>
      <c r="F6" s="179" cm="1">
        <f t="array" ref="F6">(B6-E6)/B6</f>
        <v>-0.00780568818766867</v>
      </c>
      <c r="G6" s="62">
        <v>0.678571</v>
      </c>
      <c r="H6" s="179" cm="1">
        <f t="array" ref="H6">(C6-G6)/C6</f>
        <v>0</v>
      </c>
    </row>
    <row r="7" ht="13.65" customHeight="1">
      <c r="A7" t="s" s="3">
        <v>97</v>
      </c>
      <c r="B7" s="62">
        <v>0.67438</v>
      </c>
      <c r="C7" s="62">
        <v>0.678571</v>
      </c>
      <c r="D7" t="s" s="183">
        <v>238</v>
      </c>
      <c r="E7" s="62">
        <v>0.6707340000000001</v>
      </c>
      <c r="F7" s="179" cm="1">
        <f t="array" ref="F7">(B7-E7)/B7</f>
        <v>0.00540644740354103</v>
      </c>
      <c r="G7" s="62">
        <v>0.6714290000000001</v>
      </c>
      <c r="H7" s="179" cm="1">
        <f t="array" ref="H7">(C7-G7)/C7</f>
        <v>0.0105250592789848</v>
      </c>
    </row>
    <row r="8" ht="13.55" customHeight="1">
      <c r="A8" s="185"/>
      <c r="B8" s="185"/>
      <c r="C8" s="185"/>
      <c r="D8" s="185"/>
      <c r="E8" s="185"/>
      <c r="F8" s="185"/>
      <c r="G8" s="185"/>
      <c r="H8" s="185"/>
    </row>
    <row r="9" ht="13.65" customHeight="1">
      <c r="A9" s="33"/>
      <c r="B9" s="33"/>
      <c r="C9" s="33"/>
      <c r="D9" s="33"/>
      <c r="E9" s="33"/>
      <c r="F9" s="33"/>
      <c r="G9" s="33"/>
      <c r="H9" s="33"/>
    </row>
    <row r="10" ht="13.65" customHeight="1">
      <c r="A10" s="33"/>
      <c r="B10" s="33"/>
      <c r="C10" s="33"/>
      <c r="D10" s="33"/>
      <c r="E10" s="33"/>
      <c r="F10" s="33"/>
      <c r="G10" s="33"/>
      <c r="H10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